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tabRatio="500"/>
  </bookViews>
  <sheets>
    <sheet name="Projekt" sheetId="1" r:id="rId1"/>
    <sheet name="Klausur" sheetId="2" state="hidden" r:id="rId2"/>
    <sheet name="Gesamtnote" sheetId="3" state="hidden" r:id="rId3"/>
    <sheet name="Notenspiege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G1" authorId="0">
      <text>
        <r>
          <rPr>
            <sz val="11"/>
            <color rgb="FF000000"/>
            <rFont val="Calibri"/>
            <charset val="1"/>
          </rPr>
          <t xml:space="preserve">jordine:
</t>
        </r>
        <r>
          <rPr>
            <sz val="9"/>
            <color rgb="FF000000"/>
            <rFont val="Tahoma"/>
            <charset val="1"/>
          </rPr>
          <t xml:space="preserve">0 - keine Interfaces/Vererbung/Packages vorhanden
1 - Interfaces aus Java-API verwendet oder von Java-Klassen geerbt
2 - Ein eigenes Interface oder abstrakte Klasse definiert
3 </t>
        </r>
        <r>
          <rPr>
            <sz val="10"/>
            <color rgb="FF000000"/>
            <rFont val="Calibri"/>
            <charset val="134"/>
          </rPr>
          <t>-</t>
        </r>
        <r>
          <rPr>
            <sz val="9"/>
            <color rgb="FF000000"/>
            <rFont val="Calibri"/>
            <charset val="134"/>
          </rPr>
          <t xml:space="preserve"> </t>
        </r>
        <r>
          <rPr>
            <sz val="9"/>
            <color rgb="FF000000"/>
            <rFont val="Tahoma"/>
            <charset val="1"/>
          </rPr>
          <t>Erweiterbare Architektur mit Interfaces und Factories</t>
        </r>
      </text>
    </comment>
    <comment ref="H1" authorId="0">
      <text>
        <r>
          <rPr>
            <sz val="11"/>
            <color rgb="FF000000"/>
            <rFont val="Calibri"/>
            <charset val="1"/>
          </rPr>
          <t xml:space="preserve">jordine:
</t>
        </r>
        <r>
          <rPr>
            <sz val="9"/>
            <color rgb="FF000000"/>
            <rFont val="Tahoma"/>
            <charset val="1"/>
          </rPr>
          <t xml:space="preserve">0 </t>
        </r>
        <r>
          <rPr>
            <sz val="10"/>
            <color rgb="FF000000"/>
            <rFont val="Calibri"/>
            <charset val="134"/>
          </rPr>
          <t>-</t>
        </r>
        <r>
          <rPr>
            <sz val="9"/>
            <color rgb="FF000000"/>
            <rFont val="Calibri"/>
            <charset val="134"/>
          </rPr>
          <t xml:space="preserve"> </t>
        </r>
        <r>
          <rPr>
            <sz val="9"/>
            <color rgb="FF000000"/>
            <rFont val="Tahoma"/>
            <charset val="1"/>
          </rPr>
          <t xml:space="preserve">Keine Kapselung der Attribute (public Attribute )
1 - Verwendung einiger static Methoden (nur für Singletons und Factories erlaubt)
2 </t>
        </r>
        <r>
          <rPr>
            <sz val="10"/>
            <color rgb="FF000000"/>
            <rFont val="Calibri"/>
            <charset val="134"/>
          </rPr>
          <t>-</t>
        </r>
        <r>
          <rPr>
            <sz val="9"/>
            <color rgb="FF000000"/>
            <rFont val="Calibri"/>
            <charset val="134"/>
          </rPr>
          <t xml:space="preserve"> </t>
        </r>
        <r>
          <rPr>
            <sz val="9"/>
            <color rgb="FF000000"/>
            <rFont val="Tahoma"/>
            <charset val="1"/>
          </rPr>
          <t xml:space="preserve">getter geben keine direkten Referenzen auf Attribute zurück
3 </t>
        </r>
        <r>
          <rPr>
            <sz val="10"/>
            <color rgb="FF000000"/>
            <rFont val="Calibri"/>
            <charset val="134"/>
          </rPr>
          <t>-</t>
        </r>
        <r>
          <rPr>
            <sz val="9"/>
            <color rgb="FF000000"/>
            <rFont val="Calibri"/>
            <charset val="134"/>
          </rPr>
          <t xml:space="preserve"> </t>
        </r>
        <r>
          <rPr>
            <sz val="9"/>
            <color rgb="FF000000"/>
            <rFont val="Tahoma"/>
            <charset val="1"/>
          </rPr>
          <t>Lose Kopplung (Verwendung von Interfaces auf der linken Seite von = )</t>
        </r>
      </text>
    </comment>
    <comment ref="I1" authorId="0">
      <text>
        <r>
          <rPr>
            <sz val="11"/>
            <color rgb="FF000000"/>
            <rFont val="Calibri"/>
            <charset val="1"/>
          </rPr>
          <t xml:space="preserve">jordine:
</t>
        </r>
        <r>
          <rPr>
            <sz val="9"/>
            <color rgb="FF000000"/>
            <rFont val="Tahoma"/>
            <charset val="1"/>
          </rPr>
          <t>0 - keine Dokumentation (pdf) vorhanden
1 - Lückenhafte Dokumentation
2 - (leer)
3 - Vollständige Dokumentation (gem. Doku-Anforderungen)</t>
        </r>
      </text>
    </comment>
    <comment ref="J1" authorId="0">
      <text>
        <r>
          <rPr>
            <sz val="11"/>
            <color rgb="FF000000"/>
            <rFont val="Calibri"/>
            <charset val="1"/>
          </rPr>
          <t xml:space="preserve">jordine:
</t>
        </r>
        <r>
          <rPr>
            <sz val="9"/>
            <color rgb="FF000000"/>
            <rFont val="Tahoma"/>
            <charset val="1"/>
          </rPr>
          <t xml:space="preserve">0 </t>
        </r>
        <r>
          <rPr>
            <sz val="10"/>
            <color rgb="FF000000"/>
            <rFont val="Calibri"/>
            <charset val="134"/>
          </rPr>
          <t>–</t>
        </r>
        <r>
          <rPr>
            <sz val="9"/>
            <color rgb="FF000000"/>
            <rFont val="Calibri"/>
            <charset val="134"/>
          </rPr>
          <t xml:space="preserve"> </t>
        </r>
        <r>
          <rPr>
            <sz val="9"/>
            <color rgb="FF000000"/>
            <rFont val="Tahoma"/>
            <charset val="1"/>
          </rPr>
          <t>keine Tests vorhanden
1 – einfache wenige Tests vorhanden
2 – mehrere Klassen mit eigenen Unit Tests getestet
3 – mehrere Klassen inklusive Negativ-Unit Tests und getestet, ob eigene Exceptions geworfen werden</t>
        </r>
      </text>
    </comment>
    <comment ref="K1" authorId="0">
      <text>
        <r>
          <rPr>
            <sz val="11"/>
            <color rgb="FF000000"/>
            <rFont val="Calibri"/>
            <charset val="1"/>
          </rPr>
          <t xml:space="preserve">jordine:
</t>
        </r>
        <r>
          <rPr>
            <sz val="9"/>
            <color rgb="FF000000"/>
            <rFont val="Tahoma"/>
            <charset val="1"/>
          </rPr>
          <t>0 - keine GUI
1 - Einfache GUI vorhanden
2 - Event-Handling vorhanden
3 - Komplexere GUI vorhanden (z.B. verschachteltes Layout, mehrere Screens, Menü etc)</t>
        </r>
      </text>
    </comment>
    <comment ref="L1" authorId="0">
      <text>
        <r>
          <rPr>
            <sz val="11"/>
            <color rgb="FF000000"/>
            <rFont val="Calibri"/>
            <charset val="1"/>
          </rPr>
          <t xml:space="preserve">jordine:
</t>
        </r>
        <r>
          <rPr>
            <sz val="9"/>
            <color rgb="FF000000"/>
            <rFont val="Tahoma"/>
            <charset val="1"/>
          </rPr>
          <t>0 - kein Logging vorhanden, keine eigene Exception
1 - Logging mit Logging-Framework in den meisten Klassen
2 - Sinnvolle Anwendung der Log-Stufen 
3 - Logging von Exceptions und Threads, eigene Exception geworfen und gefangen</t>
        </r>
      </text>
    </comment>
    <comment ref="M1" authorId="0">
      <text>
        <r>
          <rPr>
            <sz val="11"/>
            <color rgb="FF000000"/>
            <rFont val="Calibri"/>
            <charset val="1"/>
          </rPr>
          <t xml:space="preserve">jordine:
</t>
        </r>
        <r>
          <rPr>
            <sz val="9"/>
            <color rgb="FF000000"/>
            <rFont val="Tahoma"/>
            <charset val="1"/>
          </rPr>
          <t>0 - kein UML vorhanden oder generiertes Klassendiagramm
1 - Eigenes Klassendiagram mit Fehlern
2 - (leer)
3 - Übersichtliches und korrektes Klassendiagramm mit erklärender Wirkung und Use Case Diagramm mit Kernfällen und Sequence Diagram (nur ein Ablauf notwendig)</t>
        </r>
      </text>
    </comment>
    <comment ref="N1" authorId="0">
      <text>
        <r>
          <rPr>
            <sz val="11"/>
            <color rgb="FF000000"/>
            <rFont val="Calibri"/>
            <charset val="1"/>
          </rPr>
          <t xml:space="preserve">jordine: 
</t>
        </r>
        <r>
          <rPr>
            <sz val="9"/>
            <color rgb="FF000000"/>
            <rFont val="Tahoma"/>
            <charset val="1"/>
          </rPr>
          <t xml:space="preserve">0 - keine Threads vorhanden
1 - (leer) 
2 - (leer)
3 - </t>
        </r>
        <r>
          <rPr>
            <sz val="10"/>
            <color rgb="FF000000"/>
            <rFont val="Calibri"/>
            <charset val="134"/>
          </rPr>
          <t>Thread.start() ohne Zugriff auf gemeinsame Daten</t>
        </r>
        <r>
          <rPr>
            <sz val="9"/>
            <color rgb="FF000000"/>
            <rFont val="Calibri"/>
            <charset val="134"/>
          </rPr>
          <t xml:space="preserve"> </t>
        </r>
      </text>
    </comment>
    <comment ref="O1" authorId="0">
      <text>
        <r>
          <rPr>
            <sz val="11"/>
            <color rgb="FF000000"/>
            <rFont val="Calibri"/>
            <charset val="1"/>
          </rPr>
          <t xml:space="preserve">jordine:
</t>
        </r>
        <r>
          <rPr>
            <sz val="9"/>
            <color rgb="FF000000"/>
            <rFont val="Tahoma"/>
            <charset val="1"/>
          </rPr>
          <t>0 - keine Lambdas
1 - Lambdas vorhanden (z.B. Event-Handling)
2 - Verwendung von Streams (z.B. Durchsuchen/Sortieren einer Collection)
3 - Streams parallel verarbeiten ohne Race Conditions</t>
        </r>
      </text>
    </comment>
    <comment ref="P1" authorId="0">
      <text>
        <r>
          <rPr>
            <sz val="11"/>
            <color rgb="FF000000"/>
            <rFont val="Calibri"/>
            <charset val="1"/>
          </rPr>
          <t>jordine:
0 - keine Nachdenkzettel ausgefüllt
1 - Nachdenkzettel unvollständig im Repo
2 - (leer)
3 - Nachdenkzettel vollständig im Repo</t>
        </r>
      </text>
    </comment>
  </commentList>
</comments>
</file>

<file path=xl/sharedStrings.xml><?xml version="1.0" encoding="utf-8"?>
<sst xmlns="http://schemas.openxmlformats.org/spreadsheetml/2006/main" count="85" uniqueCount="67">
  <si>
    <t>ID</t>
  </si>
  <si>
    <t>Vorname</t>
  </si>
  <si>
    <t>Nachname</t>
  </si>
  <si>
    <t>Kürzel</t>
  </si>
  <si>
    <t>Matrikelnummer</t>
  </si>
  <si>
    <t xml:space="preserve">Projekt </t>
  </si>
  <si>
    <t>Interfaces/Architektur</t>
  </si>
  <si>
    <t>Clean Code</t>
  </si>
  <si>
    <t>Doku</t>
  </si>
  <si>
    <t>Tests</t>
  </si>
  <si>
    <t>GUI</t>
  </si>
  <si>
    <t xml:space="preserve">Logging/Except. </t>
  </si>
  <si>
    <t>UML</t>
  </si>
  <si>
    <t>Threads</t>
  </si>
  <si>
    <t>Streams</t>
  </si>
  <si>
    <t>Nachdenkzettel</t>
  </si>
  <si>
    <t>Summe - Projekt</t>
  </si>
  <si>
    <t>Kommentar</t>
  </si>
  <si>
    <t>Projekt-Note</t>
  </si>
  <si>
    <t>Siyiti</t>
  </si>
  <si>
    <t>Sumaiye</t>
  </si>
  <si>
    <t>S.S.</t>
  </si>
  <si>
    <t>QR-code-bestellung</t>
  </si>
  <si>
    <t>Maimaiti</t>
  </si>
  <si>
    <t>Bahadier</t>
  </si>
  <si>
    <t>M.B.</t>
  </si>
  <si>
    <t>Yalikun</t>
  </si>
  <si>
    <t>Yierfannate</t>
  </si>
  <si>
    <t>Y.Y.</t>
  </si>
  <si>
    <t xml:space="preserve"> </t>
  </si>
  <si>
    <t>Aufgabe 1</t>
  </si>
  <si>
    <t>Aufgabe 2</t>
  </si>
  <si>
    <t>Aufgabe 3</t>
  </si>
  <si>
    <t>Aufgabe 4</t>
  </si>
  <si>
    <t>Aufgabe 5</t>
  </si>
  <si>
    <t>Aufgabe 6</t>
  </si>
  <si>
    <t>Aufgabe 7</t>
  </si>
  <si>
    <t>Aufgabe 8</t>
  </si>
  <si>
    <t>Aufgabe 9</t>
  </si>
  <si>
    <t>Aufgabe 10</t>
  </si>
  <si>
    <t>Punkte</t>
  </si>
  <si>
    <t>Note</t>
  </si>
  <si>
    <t>Projekt</t>
  </si>
  <si>
    <t>Klausur</t>
  </si>
  <si>
    <t>Gesamtnote</t>
  </si>
  <si>
    <t>Min</t>
  </si>
  <si>
    <t>Max</t>
  </si>
  <si>
    <t>96 - 100</t>
  </si>
  <si>
    <t>29 - 30</t>
  </si>
  <si>
    <t>91 - 95</t>
  </si>
  <si>
    <t>27 -28</t>
  </si>
  <si>
    <t>85 - 90</t>
  </si>
  <si>
    <t>25 - 26</t>
  </si>
  <si>
    <t>80 - 84</t>
  </si>
  <si>
    <t>75 - 79</t>
  </si>
  <si>
    <t>70 - 74</t>
  </si>
  <si>
    <t>21 - 22</t>
  </si>
  <si>
    <t>65 - 69</t>
  </si>
  <si>
    <t>60 - 64</t>
  </si>
  <si>
    <t>18 - 19</t>
  </si>
  <si>
    <t>55 - 59</t>
  </si>
  <si>
    <t>50 - 54</t>
  </si>
  <si>
    <t>15 -16</t>
  </si>
  <si>
    <t>15 - 49</t>
  </si>
  <si>
    <t>5 - 14</t>
  </si>
  <si>
    <t>0 - 14</t>
  </si>
  <si>
    <t>0 - 4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</si>
</sst>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"/>
  </numFmts>
  <fonts count="28">
    <font>
      <sz val="11"/>
      <color rgb="FF000000"/>
      <name val="Calibri"/>
      <charset val="1"/>
    </font>
    <font>
      <sz val="18"/>
      <color rgb="FF000000"/>
      <name val="Calibri"/>
      <charset val="1"/>
    </font>
    <font>
      <b/>
      <sz val="11"/>
      <color rgb="FF000000"/>
      <name val="Calibri"/>
      <charset val="1"/>
    </font>
    <font>
      <b/>
      <sz val="11"/>
      <name val="Calibri"/>
      <charset val="1"/>
    </font>
    <font>
      <sz val="11"/>
      <color rgb="FF000000"/>
      <name val="Calibri"/>
      <charset val="1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color rgb="FF000000"/>
      <name val="Calibri"/>
      <charset val="134"/>
    </font>
    <font>
      <sz val="9"/>
      <color rgb="FF000000"/>
      <name val="Tahoma"/>
      <charset val="1"/>
    </font>
    <font>
      <sz val="9"/>
      <color rgb="FF000000"/>
      <name val="Calibri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0" fillId="0" borderId="0"/>
  </cellStyleXfs>
  <cellXfs count="16">
    <xf numFmtId="0" fontId="0" fillId="0" borderId="0" xfId="0"/>
    <xf numFmtId="0" fontId="1" fillId="0" borderId="0" xfId="49" applyFont="1"/>
    <xf numFmtId="0" fontId="0" fillId="0" borderId="0" xfId="49"/>
    <xf numFmtId="0" fontId="2" fillId="0" borderId="0" xfId="49" applyFont="1"/>
    <xf numFmtId="49" fontId="0" fillId="0" borderId="0" xfId="49" applyNumberFormat="1"/>
    <xf numFmtId="176" fontId="0" fillId="0" borderId="0" xfId="49" applyNumberFormat="1"/>
    <xf numFmtId="2" fontId="0" fillId="0" borderId="0" xfId="49" applyNumberFormat="1" applyAlignment="1">
      <alignment horizontal="left"/>
    </xf>
    <xf numFmtId="1" fontId="0" fillId="0" borderId="0" xfId="49" applyNumberFormat="1"/>
    <xf numFmtId="1" fontId="0" fillId="0" borderId="0" xfId="49" applyNumberFormat="1" applyAlignment="1">
      <alignment horizontal="left"/>
    </xf>
    <xf numFmtId="49" fontId="0" fillId="0" borderId="0" xfId="49" applyNumberFormat="1" applyAlignment="1">
      <alignment horizontal="left"/>
    </xf>
    <xf numFmtId="0" fontId="2" fillId="0" borderId="0" xfId="0" applyFont="1"/>
    <xf numFmtId="176" fontId="0" fillId="0" borderId="0" xfId="0" applyNumberFormat="1"/>
    <xf numFmtId="0" fontId="3" fillId="0" borderId="0" xfId="0" applyFont="1"/>
    <xf numFmtId="0" fontId="0" fillId="0" borderId="0" xfId="0" applyFont="1"/>
    <xf numFmtId="2" fontId="0" fillId="0" borderId="0" xfId="0" applyNumberFormat="1"/>
    <xf numFmtId="0" fontId="4" fillId="0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Excel Built-in Explanatory Text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8</xdr:col>
      <xdr:colOff>749880</xdr:colOff>
      <xdr:row>1</xdr:row>
      <xdr:rowOff>140400</xdr:rowOff>
    </xdr:from>
    <xdr:to>
      <xdr:col>15</xdr:col>
      <xdr:colOff>0</xdr:colOff>
      <xdr:row>6</xdr:row>
      <xdr:rowOff>86760</xdr:rowOff>
    </xdr:to>
    <xdr:sp>
      <xdr:nvSpPr>
        <xdr:cNvPr id="2" name="CustomShape 1"/>
        <xdr:cNvSpPr/>
      </xdr:nvSpPr>
      <xdr:spPr>
        <a:xfrm>
          <a:off x="6920230" y="330835"/>
          <a:ext cx="4331970" cy="898525"/>
        </a:xfrm>
        <a:prstGeom prst="rect">
          <a:avLst/>
        </a:prstGeom>
        <a:solidFill>
          <a:srgbClr val="FFFFFF"/>
        </a:solidFill>
        <a:ln w="9360">
          <a:solidFill>
            <a:srgbClr val="FFFFFF"/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US" sz="1100" b="1" strike="noStrike" spc="-1">
              <a:solidFill>
                <a:srgbClr val="000000"/>
              </a:solidFill>
              <a:latin typeface="Calibri" panose="020F0502020204030204" pitchFamily="2"/>
            </a:rPr>
            <a:t>Zusammensetzung der SE2-Note:</a:t>
          </a:r>
          <a:endParaRPr lang="de-DE" sz="1100" b="0" strike="noStrike" spc="-1">
            <a:latin typeface="Times New Roman" panose="02020603050405020304" pitchFamily="12"/>
          </a:endParaRPr>
        </a:p>
        <a:p>
          <a:pPr>
            <a:lnSpc>
              <a:spcPct val="100000"/>
            </a:lnSpc>
          </a:pPr>
          <a:endParaRPr lang="de-DE" sz="1100" b="0" strike="noStrike" spc="-1">
            <a:latin typeface="Times New Roman" panose="02020603050405020304" pitchFamily="12"/>
          </a:endParaRPr>
        </a:p>
        <a:p>
          <a:pPr>
            <a:lnSpc>
              <a:spcPct val="100000"/>
            </a:lnSpc>
          </a:pPr>
          <a:r>
            <a:rPr lang="en-US" sz="1100" b="0" strike="noStrike" spc="-1">
              <a:solidFill>
                <a:srgbClr val="000000"/>
              </a:solidFill>
              <a:latin typeface="Calibri" panose="020F0502020204030204" pitchFamily="2"/>
            </a:rPr>
            <a:t>Das Projekt zählt zu 33% in die Gesamtnote. Die Berechung kann hier getestet werden.</a:t>
          </a:r>
          <a:endParaRPr lang="de-DE" sz="1100" b="0" strike="noStrike" spc="-1">
            <a:latin typeface="Times New Roman" panose="02020603050405020304" pitchFamily="1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0"/>
  <sheetViews>
    <sheetView tabSelected="1" workbookViewId="0">
      <selection activeCell="R9" sqref="R9"/>
    </sheetView>
  </sheetViews>
  <sheetFormatPr defaultColWidth="8.5047619047619" defaultRowHeight="15"/>
  <cols>
    <col min="1" max="3" width="10.8285714285714" customWidth="1"/>
    <col min="4" max="4" width="6.66666666666667" customWidth="1"/>
    <col min="5" max="5" width="14.5047619047619" customWidth="1"/>
    <col min="6" max="6" width="12.1619047619048" customWidth="1"/>
    <col min="7" max="7" width="10" customWidth="1"/>
    <col min="8" max="8" width="11" customWidth="1"/>
    <col min="9" max="9" width="6.33333333333333" customWidth="1"/>
    <col min="10" max="10" width="6.16190476190476" customWidth="1"/>
    <col min="11" max="11" width="4.33333333333333" customWidth="1"/>
    <col min="12" max="12" width="14.5047619047619" customWidth="1"/>
    <col min="13" max="13" width="4.5047619047619" customWidth="1"/>
    <col min="14" max="14" width="8.16190476190476" customWidth="1"/>
    <col min="15" max="15" width="8.82857142857143" customWidth="1"/>
    <col min="16" max="16" width="13.3333333333333" customWidth="1"/>
    <col min="17" max="17" width="20.6666666666667" customWidth="1"/>
    <col min="18" max="18" width="22.5047619047619" customWidth="1"/>
    <col min="19" max="19" width="23.8285714285714" customWidth="1"/>
    <col min="20" max="1025" width="10.8285714285714" customWidth="1"/>
  </cols>
  <sheetData>
    <row r="1" spans="1:19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2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2" t="s">
        <v>15</v>
      </c>
      <c r="Q1" s="10" t="s">
        <v>16</v>
      </c>
      <c r="R1" s="10" t="s">
        <v>17</v>
      </c>
      <c r="S1" s="10" t="s">
        <v>18</v>
      </c>
    </row>
    <row r="2" spans="1:19">
      <c r="A2">
        <v>1</v>
      </c>
      <c r="B2" t="s">
        <v>19</v>
      </c>
      <c r="C2" t="s">
        <v>20</v>
      </c>
      <c r="D2" s="13" t="s">
        <v>21</v>
      </c>
      <c r="E2">
        <v>5028196</v>
      </c>
      <c r="F2" t="s">
        <v>22</v>
      </c>
      <c r="G2">
        <v>3</v>
      </c>
      <c r="H2">
        <v>3</v>
      </c>
      <c r="I2">
        <v>3</v>
      </c>
      <c r="J2">
        <v>1</v>
      </c>
      <c r="K2">
        <v>3</v>
      </c>
      <c r="L2">
        <v>1</v>
      </c>
      <c r="M2">
        <v>1</v>
      </c>
      <c r="N2">
        <v>3</v>
      </c>
      <c r="O2">
        <v>3</v>
      </c>
      <c r="P2">
        <v>2</v>
      </c>
      <c r="Q2" s="14">
        <f t="shared" ref="Q2:Q33" si="0">SUM(G2:P2)</f>
        <v>23</v>
      </c>
      <c r="S2" s="14">
        <f>VLOOKUP(Q2,Notenspiegel!$D$17:$E$47,2,0)</f>
        <v>2.3</v>
      </c>
    </row>
    <row r="3" spans="1:19">
      <c r="A3">
        <v>2</v>
      </c>
      <c r="B3" s="15" t="s">
        <v>23</v>
      </c>
      <c r="C3" t="s">
        <v>24</v>
      </c>
      <c r="D3" t="s">
        <v>25</v>
      </c>
      <c r="E3">
        <v>5028195</v>
      </c>
      <c r="F3" t="s">
        <v>22</v>
      </c>
      <c r="G3">
        <v>1</v>
      </c>
      <c r="H3">
        <v>1</v>
      </c>
      <c r="I3">
        <v>1</v>
      </c>
      <c r="J3">
        <v>3</v>
      </c>
      <c r="K3">
        <v>1</v>
      </c>
      <c r="L3">
        <v>1</v>
      </c>
      <c r="M3">
        <v>3</v>
      </c>
      <c r="N3">
        <v>1</v>
      </c>
      <c r="O3">
        <v>1</v>
      </c>
      <c r="P3">
        <v>1</v>
      </c>
      <c r="Q3" s="14">
        <f t="shared" si="0"/>
        <v>14</v>
      </c>
      <c r="S3" s="14">
        <f>VLOOKUP(Q3,Notenspiegel!$D$17:$E$47,2,0)</f>
        <v>4.7</v>
      </c>
    </row>
    <row r="4" spans="1:19">
      <c r="A4">
        <v>3</v>
      </c>
      <c r="B4" t="s">
        <v>26</v>
      </c>
      <c r="C4" t="s">
        <v>27</v>
      </c>
      <c r="D4" t="s">
        <v>28</v>
      </c>
      <c r="E4">
        <v>5028197</v>
      </c>
      <c r="F4" t="s">
        <v>22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2</v>
      </c>
      <c r="Q4" s="14">
        <f t="shared" si="0"/>
        <v>11</v>
      </c>
      <c r="R4" t="s">
        <v>29</v>
      </c>
      <c r="S4" s="14">
        <f>VLOOKUP(Q4,Notenspiegel!$D$17:$E$47,2,0)</f>
        <v>4.7</v>
      </c>
    </row>
    <row r="5" spans="1:19">
      <c r="Q5" s="14">
        <f t="shared" si="0"/>
        <v>0</v>
      </c>
      <c r="S5" s="14">
        <f>VLOOKUP(Q5,Notenspiegel!$D$17:$E$47,2,0)</f>
        <v>5</v>
      </c>
    </row>
    <row r="6" spans="1:19">
      <c r="Q6" s="14">
        <f t="shared" si="0"/>
        <v>0</v>
      </c>
      <c r="S6" s="14">
        <f>VLOOKUP(Q6,Notenspiegel!$D$17:$E$47,2,0)</f>
        <v>5</v>
      </c>
    </row>
    <row r="7" spans="1:19">
      <c r="Q7" s="14">
        <f t="shared" si="0"/>
        <v>0</v>
      </c>
      <c r="S7" s="14">
        <f>VLOOKUP(Q7,Notenspiegel!$D$17:$E$47,2,0)</f>
        <v>5</v>
      </c>
    </row>
    <row r="8" spans="1:19">
      <c r="Q8" s="14">
        <f t="shared" si="0"/>
        <v>0</v>
      </c>
      <c r="S8" s="14">
        <f>VLOOKUP(Q8,Notenspiegel!$D$17:$E$47,2,0)</f>
        <v>5</v>
      </c>
    </row>
    <row r="9" spans="1:19">
      <c r="Q9" s="14">
        <f t="shared" si="0"/>
        <v>0</v>
      </c>
      <c r="S9" s="14">
        <f>VLOOKUP(Q9,Notenspiegel!$D$17:$E$47,2,0)</f>
        <v>5</v>
      </c>
    </row>
    <row r="10" spans="1:19">
      <c r="Q10" s="14">
        <f t="shared" si="0"/>
        <v>0</v>
      </c>
      <c r="S10" s="14">
        <f>VLOOKUP(Q10,Notenspiegel!$D$17:$E$47,2,0)</f>
        <v>5</v>
      </c>
    </row>
    <row r="11" spans="1:19">
      <c r="Q11" s="14">
        <f t="shared" si="0"/>
        <v>0</v>
      </c>
      <c r="S11" s="14">
        <f>VLOOKUP(Q11,Notenspiegel!$D$17:$E$47,2,0)</f>
        <v>5</v>
      </c>
    </row>
    <row r="12" spans="1:19">
      <c r="Q12" s="14">
        <f t="shared" si="0"/>
        <v>0</v>
      </c>
      <c r="S12" s="14">
        <f>VLOOKUP(Q12,Notenspiegel!$D$17:$E$47,2,0)</f>
        <v>5</v>
      </c>
    </row>
    <row r="13" spans="1:19">
      <c r="Q13" s="14">
        <f t="shared" si="0"/>
        <v>0</v>
      </c>
      <c r="S13" s="14">
        <f>VLOOKUP(Q13,Notenspiegel!$D$17:$E$47,2,0)</f>
        <v>5</v>
      </c>
    </row>
    <row r="14" spans="1:19">
      <c r="Q14" s="14">
        <f t="shared" si="0"/>
        <v>0</v>
      </c>
      <c r="S14" s="14">
        <f>VLOOKUP(Q14,Notenspiegel!$D$17:$E$47,2,0)</f>
        <v>5</v>
      </c>
    </row>
    <row r="15" spans="1:19">
      <c r="Q15" s="14">
        <f t="shared" si="0"/>
        <v>0</v>
      </c>
      <c r="S15" s="14">
        <f>VLOOKUP(Q15,Notenspiegel!$D$17:$E$47,2,0)</f>
        <v>5</v>
      </c>
    </row>
    <row r="16" spans="1:19">
      <c r="Q16" s="14">
        <f t="shared" si="0"/>
        <v>0</v>
      </c>
      <c r="S16" s="14">
        <f>VLOOKUP(Q16,Notenspiegel!$D$17:$E$47,2,0)</f>
        <v>5</v>
      </c>
    </row>
    <row r="17" spans="17:19">
      <c r="Q17" s="14">
        <f t="shared" si="0"/>
        <v>0</v>
      </c>
      <c r="S17" s="14">
        <f>VLOOKUP(Q17,Notenspiegel!$D$17:$E$47,2,0)</f>
        <v>5</v>
      </c>
    </row>
    <row r="18" spans="17:19">
      <c r="Q18" s="14">
        <f t="shared" si="0"/>
        <v>0</v>
      </c>
      <c r="S18" s="14">
        <f>VLOOKUP(Q18,Notenspiegel!$D$17:$E$47,2,0)</f>
        <v>5</v>
      </c>
    </row>
    <row r="19" spans="17:19">
      <c r="Q19" s="14">
        <f t="shared" si="0"/>
        <v>0</v>
      </c>
      <c r="S19" s="14">
        <f>VLOOKUP(Q19,Notenspiegel!$D$17:$E$47,2,0)</f>
        <v>5</v>
      </c>
    </row>
    <row r="20" spans="17:19">
      <c r="Q20" s="14">
        <f t="shared" si="0"/>
        <v>0</v>
      </c>
      <c r="S20" s="14">
        <f>VLOOKUP(Q20,Notenspiegel!$D$17:$E$47,2,0)</f>
        <v>5</v>
      </c>
    </row>
    <row r="21" spans="17:19">
      <c r="Q21" s="14">
        <f t="shared" si="0"/>
        <v>0</v>
      </c>
      <c r="S21" s="14">
        <f>VLOOKUP(Q21,Notenspiegel!$D$17:$E$47,2,0)</f>
        <v>5</v>
      </c>
    </row>
    <row r="22" spans="17:19">
      <c r="Q22" s="14">
        <f t="shared" si="0"/>
        <v>0</v>
      </c>
      <c r="S22" s="14">
        <f>VLOOKUP(Q22,Notenspiegel!$D$17:$E$47,2,0)</f>
        <v>5</v>
      </c>
    </row>
    <row r="23" spans="17:19">
      <c r="Q23" s="14">
        <f t="shared" si="0"/>
        <v>0</v>
      </c>
      <c r="S23" s="14">
        <f>VLOOKUP(Q23,Notenspiegel!$D$17:$E$47,2,0)</f>
        <v>5</v>
      </c>
    </row>
    <row r="24" spans="17:19">
      <c r="Q24" s="14">
        <f t="shared" si="0"/>
        <v>0</v>
      </c>
      <c r="S24" s="14">
        <f>VLOOKUP(Q24,Notenspiegel!$D$17:$E$47,2,0)</f>
        <v>5</v>
      </c>
    </row>
    <row r="25" spans="17:19">
      <c r="Q25" s="14">
        <f t="shared" si="0"/>
        <v>0</v>
      </c>
      <c r="S25" s="14">
        <f>VLOOKUP(Q25,Notenspiegel!$D$17:$E$47,2,0)</f>
        <v>5</v>
      </c>
    </row>
    <row r="26" spans="17:19">
      <c r="Q26" s="14">
        <f t="shared" si="0"/>
        <v>0</v>
      </c>
      <c r="S26" s="14">
        <f>VLOOKUP(Q26,Notenspiegel!$D$17:$E$47,2,0)</f>
        <v>5</v>
      </c>
    </row>
    <row r="27" spans="17:19">
      <c r="Q27" s="14">
        <f t="shared" si="0"/>
        <v>0</v>
      </c>
      <c r="S27" s="14">
        <f>VLOOKUP(Q27,Notenspiegel!$D$17:$E$47,2,0)</f>
        <v>5</v>
      </c>
    </row>
    <row r="28" spans="17:19">
      <c r="Q28" s="14">
        <f t="shared" si="0"/>
        <v>0</v>
      </c>
      <c r="S28" s="14">
        <f>VLOOKUP(Q28,Notenspiegel!$D$17:$E$47,2,0)</f>
        <v>5</v>
      </c>
    </row>
    <row r="29" spans="17:19">
      <c r="Q29" s="14">
        <f t="shared" si="0"/>
        <v>0</v>
      </c>
      <c r="S29" s="14">
        <f>VLOOKUP(Q29,Notenspiegel!$D$17:$E$47,2,0)</f>
        <v>5</v>
      </c>
    </row>
    <row r="30" spans="17:19">
      <c r="Q30" s="14">
        <f t="shared" si="0"/>
        <v>0</v>
      </c>
      <c r="S30" s="14">
        <f>VLOOKUP(Q30,Notenspiegel!$D$17:$E$47,2,0)</f>
        <v>5</v>
      </c>
    </row>
    <row r="31" spans="17:19">
      <c r="Q31" s="14">
        <f t="shared" si="0"/>
        <v>0</v>
      </c>
      <c r="S31" s="14">
        <f>VLOOKUP(Q31,Notenspiegel!$D$17:$E$47,2,0)</f>
        <v>5</v>
      </c>
    </row>
    <row r="32" spans="17:19">
      <c r="Q32" s="14">
        <f t="shared" si="0"/>
        <v>0</v>
      </c>
      <c r="S32" s="14">
        <f>VLOOKUP(Q32,Notenspiegel!$D$17:$E$47,2,0)</f>
        <v>5</v>
      </c>
    </row>
    <row r="33" spans="17:19">
      <c r="Q33" s="14">
        <f t="shared" si="0"/>
        <v>0</v>
      </c>
      <c r="S33" s="14">
        <f>VLOOKUP(Q33,Notenspiegel!$D$17:$E$47,2,0)</f>
        <v>5</v>
      </c>
    </row>
    <row r="34" spans="17:19">
      <c r="Q34" s="14">
        <f t="shared" ref="Q34:Q65" si="1">SUM(G34:P34)</f>
        <v>0</v>
      </c>
      <c r="S34" s="14">
        <f>VLOOKUP(Q34,Notenspiegel!$D$17:$E$47,2,0)</f>
        <v>5</v>
      </c>
    </row>
    <row r="35" spans="17:19">
      <c r="Q35" s="14">
        <f t="shared" si="1"/>
        <v>0</v>
      </c>
      <c r="S35" s="14">
        <f>VLOOKUP(Q35,Notenspiegel!$D$17:$E$47,2,0)</f>
        <v>5</v>
      </c>
    </row>
    <row r="36" spans="17:19">
      <c r="Q36" s="14">
        <f t="shared" si="1"/>
        <v>0</v>
      </c>
      <c r="S36" s="14">
        <f>VLOOKUP(Q36,Notenspiegel!$D$17:$E$47,2,0)</f>
        <v>5</v>
      </c>
    </row>
    <row r="37" spans="17:19">
      <c r="Q37" s="14">
        <f t="shared" si="1"/>
        <v>0</v>
      </c>
      <c r="S37" s="14">
        <f>VLOOKUP(Q37,Notenspiegel!$D$17:$E$47,2,0)</f>
        <v>5</v>
      </c>
    </row>
    <row r="38" spans="17:19">
      <c r="Q38" s="14">
        <f t="shared" si="1"/>
        <v>0</v>
      </c>
      <c r="S38" s="14">
        <f>VLOOKUP(Q38,Notenspiegel!$D$17:$E$47,2,0)</f>
        <v>5</v>
      </c>
    </row>
    <row r="39" spans="17:19">
      <c r="Q39" s="14">
        <f t="shared" si="1"/>
        <v>0</v>
      </c>
      <c r="S39" s="14">
        <f>VLOOKUP(Q39,Notenspiegel!$D$17:$E$47,2,0)</f>
        <v>5</v>
      </c>
    </row>
    <row r="40" spans="17:19">
      <c r="Q40" s="14">
        <f t="shared" si="1"/>
        <v>0</v>
      </c>
      <c r="S40" s="14">
        <f>VLOOKUP(Q40,Notenspiegel!$D$17:$E$47,2,0)</f>
        <v>5</v>
      </c>
    </row>
    <row r="41" spans="17:19">
      <c r="Q41" s="14">
        <f t="shared" si="1"/>
        <v>0</v>
      </c>
      <c r="S41" s="14">
        <f>VLOOKUP(Q41,Notenspiegel!$D$17:$E$47,2,0)</f>
        <v>5</v>
      </c>
    </row>
    <row r="42" spans="17:19">
      <c r="Q42" s="14">
        <f t="shared" si="1"/>
        <v>0</v>
      </c>
      <c r="S42" s="14">
        <f>VLOOKUP(Q42,Notenspiegel!$D$17:$E$47,2,0)</f>
        <v>5</v>
      </c>
    </row>
    <row r="43" spans="17:19">
      <c r="Q43" s="14">
        <f t="shared" si="1"/>
        <v>0</v>
      </c>
      <c r="S43" s="14">
        <f>VLOOKUP(Q43,Notenspiegel!$D$17:$E$47,2,0)</f>
        <v>5</v>
      </c>
    </row>
    <row r="44" spans="17:19">
      <c r="Q44" s="14">
        <f t="shared" si="1"/>
        <v>0</v>
      </c>
      <c r="S44" s="14">
        <f>VLOOKUP(Q44,Notenspiegel!$D$17:$E$47,2,0)</f>
        <v>5</v>
      </c>
    </row>
    <row r="45" spans="17:19">
      <c r="Q45" s="14">
        <f t="shared" si="1"/>
        <v>0</v>
      </c>
      <c r="S45" s="14">
        <f>VLOOKUP(Q45,Notenspiegel!$D$17:$E$47,2,0)</f>
        <v>5</v>
      </c>
    </row>
    <row r="46" spans="17:19">
      <c r="Q46" s="14">
        <f t="shared" si="1"/>
        <v>0</v>
      </c>
      <c r="S46" s="14">
        <f>VLOOKUP(Q46,Notenspiegel!$D$17:$E$47,2,0)</f>
        <v>5</v>
      </c>
    </row>
    <row r="47" spans="17:19">
      <c r="Q47" s="14">
        <f t="shared" si="1"/>
        <v>0</v>
      </c>
      <c r="S47" s="14">
        <f>VLOOKUP(Q47,Notenspiegel!$D$17:$E$47,2,0)</f>
        <v>5</v>
      </c>
    </row>
    <row r="48" spans="17:19">
      <c r="Q48" s="14">
        <f t="shared" si="1"/>
        <v>0</v>
      </c>
      <c r="S48" s="14">
        <f>VLOOKUP(Q48,Notenspiegel!$D$17:$E$47,2,0)</f>
        <v>5</v>
      </c>
    </row>
    <row r="49" spans="17:19">
      <c r="Q49" s="14">
        <f t="shared" si="1"/>
        <v>0</v>
      </c>
      <c r="S49" s="14">
        <f>VLOOKUP(Q49,Notenspiegel!$D$17:$E$47,2,0)</f>
        <v>5</v>
      </c>
    </row>
    <row r="50" spans="17:19">
      <c r="Q50" s="14">
        <f t="shared" si="1"/>
        <v>0</v>
      </c>
      <c r="S50" s="14">
        <f>VLOOKUP(Q50,Notenspiegel!$D$17:$E$47,2,0)</f>
        <v>5</v>
      </c>
    </row>
    <row r="51" spans="17:19">
      <c r="Q51" s="14">
        <f t="shared" si="1"/>
        <v>0</v>
      </c>
      <c r="S51" s="14">
        <f>VLOOKUP(Q51,Notenspiegel!$D$17:$E$47,2,0)</f>
        <v>5</v>
      </c>
    </row>
    <row r="52" spans="17:19">
      <c r="Q52" s="14">
        <f t="shared" si="1"/>
        <v>0</v>
      </c>
      <c r="S52" s="14">
        <f>VLOOKUP(Q52,Notenspiegel!$D$17:$E$47,2,0)</f>
        <v>5</v>
      </c>
    </row>
    <row r="53" spans="17:19">
      <c r="Q53" s="14">
        <f t="shared" si="1"/>
        <v>0</v>
      </c>
      <c r="S53" s="14">
        <f>VLOOKUP(Q53,Notenspiegel!$D$17:$E$47,2,0)</f>
        <v>5</v>
      </c>
    </row>
    <row r="54" spans="17:19">
      <c r="Q54" s="14">
        <f t="shared" si="1"/>
        <v>0</v>
      </c>
      <c r="S54" s="14">
        <f>VLOOKUP(Q54,Notenspiegel!$D$17:$E$47,2,0)</f>
        <v>5</v>
      </c>
    </row>
    <row r="55" spans="17:19">
      <c r="Q55" s="14">
        <f t="shared" si="1"/>
        <v>0</v>
      </c>
      <c r="S55" s="14">
        <f>VLOOKUP(Q55,Notenspiegel!$D$17:$E$47,2,0)</f>
        <v>5</v>
      </c>
    </row>
    <row r="56" spans="17:19">
      <c r="Q56" s="14">
        <f t="shared" si="1"/>
        <v>0</v>
      </c>
      <c r="S56" s="14">
        <f>VLOOKUP(Q56,Notenspiegel!$D$17:$E$47,2,0)</f>
        <v>5</v>
      </c>
    </row>
    <row r="57" spans="17:19">
      <c r="Q57" s="14">
        <f t="shared" si="1"/>
        <v>0</v>
      </c>
      <c r="S57" s="14">
        <f>VLOOKUP(Q57,Notenspiegel!$D$17:$E$47,2,0)</f>
        <v>5</v>
      </c>
    </row>
    <row r="58" spans="17:19">
      <c r="Q58" s="14">
        <f t="shared" si="1"/>
        <v>0</v>
      </c>
      <c r="S58" s="14">
        <f>VLOOKUP(Q58,Notenspiegel!$D$17:$E$47,2,0)</f>
        <v>5</v>
      </c>
    </row>
    <row r="59" spans="17:19">
      <c r="Q59" s="14">
        <f t="shared" si="1"/>
        <v>0</v>
      </c>
      <c r="S59" s="14">
        <f>VLOOKUP(Q59,Notenspiegel!$D$17:$E$47,2,0)</f>
        <v>5</v>
      </c>
    </row>
    <row r="60" spans="17:19">
      <c r="Q60" s="14">
        <f t="shared" si="1"/>
        <v>0</v>
      </c>
      <c r="S60" s="14">
        <f>VLOOKUP(Q60,Notenspiegel!$D$17:$E$47,2,0)</f>
        <v>5</v>
      </c>
    </row>
    <row r="61" spans="17:19">
      <c r="Q61" s="14">
        <f t="shared" si="1"/>
        <v>0</v>
      </c>
      <c r="S61" s="14">
        <f>VLOOKUP(Q61,Notenspiegel!$D$17:$E$47,2,0)</f>
        <v>5</v>
      </c>
    </row>
    <row r="62" spans="17:19">
      <c r="Q62" s="14">
        <f t="shared" si="1"/>
        <v>0</v>
      </c>
      <c r="S62" s="14">
        <f>VLOOKUP(Q62,Notenspiegel!$D$17:$E$47,2,0)</f>
        <v>5</v>
      </c>
    </row>
    <row r="63" spans="17:19">
      <c r="Q63" s="14">
        <f t="shared" si="1"/>
        <v>0</v>
      </c>
      <c r="S63" s="14">
        <f>VLOOKUP(Q63,Notenspiegel!$D$17:$E$47,2,0)</f>
        <v>5</v>
      </c>
    </row>
    <row r="64" spans="17:19">
      <c r="Q64" s="14">
        <f t="shared" si="1"/>
        <v>0</v>
      </c>
      <c r="S64" s="14">
        <f>VLOOKUP(Q64,Notenspiegel!$D$17:$E$47,2,0)</f>
        <v>5</v>
      </c>
    </row>
    <row r="65" spans="17:19">
      <c r="Q65" s="14">
        <f t="shared" si="1"/>
        <v>0</v>
      </c>
      <c r="S65" s="14">
        <f>VLOOKUP(Q65,Notenspiegel!$D$17:$E$47,2,0)</f>
        <v>5</v>
      </c>
    </row>
    <row r="66" spans="17:19">
      <c r="Q66" s="14">
        <f t="shared" ref="Q66:Q80" si="2">SUM(G66:P66)</f>
        <v>0</v>
      </c>
      <c r="S66" s="14">
        <f>VLOOKUP(Q66,Notenspiegel!$D$17:$E$47,2,0)</f>
        <v>5</v>
      </c>
    </row>
    <row r="67" spans="17:19">
      <c r="Q67" s="14">
        <f t="shared" si="2"/>
        <v>0</v>
      </c>
      <c r="S67" s="14">
        <f>VLOOKUP(Q67,Notenspiegel!$D$17:$E$47,2,0)</f>
        <v>5</v>
      </c>
    </row>
    <row r="68" spans="17:19">
      <c r="Q68" s="14">
        <f t="shared" si="2"/>
        <v>0</v>
      </c>
      <c r="S68" s="14">
        <f>VLOOKUP(Q68,Notenspiegel!$D$17:$E$47,2,0)</f>
        <v>5</v>
      </c>
    </row>
    <row r="69" spans="17:19">
      <c r="Q69" s="14">
        <f t="shared" si="2"/>
        <v>0</v>
      </c>
      <c r="S69" s="14">
        <f>VLOOKUP(Q69,Notenspiegel!$D$17:$E$47,2,0)</f>
        <v>5</v>
      </c>
    </row>
    <row r="70" spans="17:19">
      <c r="Q70" s="14">
        <f t="shared" si="2"/>
        <v>0</v>
      </c>
      <c r="S70" s="14">
        <f>VLOOKUP(Q70,Notenspiegel!$D$17:$E$47,2,0)</f>
        <v>5</v>
      </c>
    </row>
    <row r="71" spans="17:19">
      <c r="Q71" s="14">
        <f t="shared" si="2"/>
        <v>0</v>
      </c>
      <c r="S71" s="14">
        <f>VLOOKUP(Q71,Notenspiegel!$D$17:$E$47,2,0)</f>
        <v>5</v>
      </c>
    </row>
    <row r="72" spans="17:19">
      <c r="Q72" s="14">
        <f t="shared" si="2"/>
        <v>0</v>
      </c>
      <c r="S72" s="14">
        <f>VLOOKUP(Q72,Notenspiegel!$D$17:$E$47,2,0)</f>
        <v>5</v>
      </c>
    </row>
    <row r="73" spans="17:19">
      <c r="Q73" s="14">
        <f t="shared" si="2"/>
        <v>0</v>
      </c>
      <c r="S73" s="14">
        <f>VLOOKUP(Q73,Notenspiegel!$D$17:$E$47,2,0)</f>
        <v>5</v>
      </c>
    </row>
    <row r="74" spans="17:19">
      <c r="Q74" s="14">
        <f t="shared" si="2"/>
        <v>0</v>
      </c>
      <c r="S74" s="14">
        <f>VLOOKUP(Q74,Notenspiegel!$D$17:$E$47,2,0)</f>
        <v>5</v>
      </c>
    </row>
    <row r="75" spans="17:19">
      <c r="Q75" s="14">
        <f t="shared" si="2"/>
        <v>0</v>
      </c>
      <c r="S75" s="14">
        <f>VLOOKUP(Q75,Notenspiegel!$D$17:$E$47,2,0)</f>
        <v>5</v>
      </c>
    </row>
    <row r="76" spans="17:19">
      <c r="Q76" s="14">
        <f t="shared" si="2"/>
        <v>0</v>
      </c>
      <c r="S76" s="14">
        <f>VLOOKUP(Q76,Notenspiegel!$D$17:$E$47,2,0)</f>
        <v>5</v>
      </c>
    </row>
    <row r="77" spans="17:19">
      <c r="Q77" s="14">
        <f t="shared" si="2"/>
        <v>0</v>
      </c>
      <c r="S77" s="14">
        <f>VLOOKUP(Q77,Notenspiegel!$D$17:$E$47,2,0)</f>
        <v>5</v>
      </c>
    </row>
    <row r="78" spans="17:19">
      <c r="Q78" s="14">
        <f t="shared" si="2"/>
        <v>0</v>
      </c>
      <c r="S78" s="14">
        <f>VLOOKUP(Q78,Notenspiegel!$D$17:$E$47,2,0)</f>
        <v>5</v>
      </c>
    </row>
    <row r="79" spans="17:19">
      <c r="Q79" s="14">
        <f t="shared" si="2"/>
        <v>0</v>
      </c>
      <c r="S79" s="14">
        <f>VLOOKUP(Q79,Notenspiegel!$D$17:$E$47,2,0)</f>
        <v>5</v>
      </c>
    </row>
    <row r="80" spans="17:19">
      <c r="Q80" s="14">
        <f t="shared" si="2"/>
        <v>0</v>
      </c>
      <c r="S80" s="14">
        <f>VLOOKUP(Q80,Notenspiegel!$D$17:$E$47,2,0)</f>
        <v>5</v>
      </c>
    </row>
  </sheetData>
  <pageMargins left="0.7" right="0.7" top="0.7875" bottom="0.7875" header="0.511811023622047" footer="0.511811023622047"/>
  <pageSetup paperSize="9" orientation="portrait" horizontalDpi="300" verticalDpi="30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9"/>
  <sheetViews>
    <sheetView topLeftCell="B1" workbookViewId="0">
      <selection activeCell="R29" sqref="R29"/>
    </sheetView>
  </sheetViews>
  <sheetFormatPr defaultColWidth="8.5047619047619" defaultRowHeight="15"/>
  <cols>
    <col min="1" max="3" width="10.8285714285714" customWidth="1"/>
    <col min="4" max="4" width="19.1619047619048" customWidth="1"/>
    <col min="5" max="1025" width="10.8285714285714" customWidth="1"/>
  </cols>
  <sheetData>
    <row r="1" spans="1:16">
      <c r="A1" s="10" t="s">
        <v>1</v>
      </c>
      <c r="B1" s="10" t="s">
        <v>2</v>
      </c>
      <c r="C1" s="10" t="s">
        <v>3</v>
      </c>
      <c r="D1" s="10" t="s">
        <v>4</v>
      </c>
      <c r="E1" s="10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35</v>
      </c>
      <c r="K1" s="10" t="s">
        <v>36</v>
      </c>
      <c r="L1" s="10" t="s">
        <v>37</v>
      </c>
      <c r="M1" s="10" t="s">
        <v>38</v>
      </c>
      <c r="N1" s="10" t="s">
        <v>39</v>
      </c>
      <c r="O1" s="10" t="s">
        <v>40</v>
      </c>
      <c r="P1" s="10" t="s">
        <v>41</v>
      </c>
    </row>
    <row r="2" spans="1:16">
      <c r="O2">
        <f t="shared" ref="O2:O33" si="0">SUM(E2:N2)</f>
        <v>0</v>
      </c>
      <c r="P2" s="11">
        <f>VLOOKUP(O2,Notenspiegel!$A$17:$B$117,2,0)</f>
        <v>5</v>
      </c>
    </row>
    <row r="3" spans="1:16">
      <c r="O3">
        <f t="shared" si="0"/>
        <v>0</v>
      </c>
      <c r="P3" s="11">
        <f>VLOOKUP(O3,Notenspiegel!$A$17:$B$117,2,0)</f>
        <v>5</v>
      </c>
    </row>
    <row r="4" spans="1:16">
      <c r="O4">
        <f t="shared" si="0"/>
        <v>0</v>
      </c>
      <c r="P4" s="11">
        <f>VLOOKUP(O4,Notenspiegel!$A$17:$B$117,2,0)</f>
        <v>5</v>
      </c>
    </row>
    <row r="5" spans="1:16">
      <c r="O5">
        <f t="shared" si="0"/>
        <v>0</v>
      </c>
      <c r="P5" s="11">
        <f>VLOOKUP(O5,Notenspiegel!$A$17:$B$117,2,0)</f>
        <v>5</v>
      </c>
    </row>
    <row r="6" spans="1:16">
      <c r="O6">
        <f t="shared" si="0"/>
        <v>0</v>
      </c>
      <c r="P6" s="11">
        <f>VLOOKUP(O6,Notenspiegel!$A$17:$B$117,2,0)</f>
        <v>5</v>
      </c>
    </row>
    <row r="7" spans="1:16">
      <c r="O7">
        <f t="shared" si="0"/>
        <v>0</v>
      </c>
      <c r="P7" s="11">
        <f>VLOOKUP(O7,Notenspiegel!$A$17:$B$117,2,0)</f>
        <v>5</v>
      </c>
    </row>
    <row r="8" spans="1:16">
      <c r="O8">
        <f t="shared" si="0"/>
        <v>0</v>
      </c>
      <c r="P8" s="11">
        <f>VLOOKUP(O8,Notenspiegel!$A$17:$B$117,2,0)</f>
        <v>5</v>
      </c>
    </row>
    <row r="9" spans="1:16">
      <c r="O9">
        <f t="shared" si="0"/>
        <v>0</v>
      </c>
      <c r="P9" s="11">
        <f>VLOOKUP(O9,Notenspiegel!$A$17:$B$117,2,0)</f>
        <v>5</v>
      </c>
    </row>
    <row r="10" spans="1:16">
      <c r="O10">
        <f t="shared" si="0"/>
        <v>0</v>
      </c>
      <c r="P10" s="11">
        <f>VLOOKUP(O10,Notenspiegel!$A$17:$B$117,2,0)</f>
        <v>5</v>
      </c>
    </row>
    <row r="11" spans="1:16">
      <c r="O11">
        <f t="shared" si="0"/>
        <v>0</v>
      </c>
      <c r="P11" s="11">
        <f>VLOOKUP(O11,Notenspiegel!$A$17:$B$117,2,0)</f>
        <v>5</v>
      </c>
    </row>
    <row r="12" spans="1:16">
      <c r="O12">
        <f t="shared" si="0"/>
        <v>0</v>
      </c>
      <c r="P12" s="11">
        <f>VLOOKUP(O12,Notenspiegel!$A$17:$B$117,2,0)</f>
        <v>5</v>
      </c>
    </row>
    <row r="13" spans="1:16">
      <c r="O13">
        <f t="shared" si="0"/>
        <v>0</v>
      </c>
      <c r="P13" s="11">
        <f>VLOOKUP(O13,Notenspiegel!$A$17:$B$117,2,0)</f>
        <v>5</v>
      </c>
    </row>
    <row r="14" spans="1:16">
      <c r="O14">
        <f t="shared" si="0"/>
        <v>0</v>
      </c>
      <c r="P14" s="11">
        <f>VLOOKUP(O14,Notenspiegel!$A$17:$B$117,2,0)</f>
        <v>5</v>
      </c>
    </row>
    <row r="15" spans="1:16">
      <c r="O15">
        <f t="shared" si="0"/>
        <v>0</v>
      </c>
      <c r="P15" s="11">
        <f>VLOOKUP(O15,Notenspiegel!$A$17:$B$117,2,0)</f>
        <v>5</v>
      </c>
    </row>
    <row r="16" spans="1:16">
      <c r="O16">
        <f t="shared" si="0"/>
        <v>0</v>
      </c>
      <c r="P16" s="11">
        <f>VLOOKUP(O16,Notenspiegel!$A$17:$B$117,2,0)</f>
        <v>5</v>
      </c>
    </row>
    <row r="17" spans="15:16">
      <c r="O17">
        <f t="shared" si="0"/>
        <v>0</v>
      </c>
      <c r="P17" s="11">
        <f>VLOOKUP(O17,Notenspiegel!$A$17:$B$117,2,0)</f>
        <v>5</v>
      </c>
    </row>
    <row r="18" spans="15:16">
      <c r="O18">
        <f t="shared" si="0"/>
        <v>0</v>
      </c>
      <c r="P18" s="11">
        <f>VLOOKUP(O18,Notenspiegel!$A$17:$B$117,2,0)</f>
        <v>5</v>
      </c>
    </row>
    <row r="19" spans="15:16">
      <c r="O19">
        <f t="shared" si="0"/>
        <v>0</v>
      </c>
      <c r="P19" s="11">
        <f>VLOOKUP(O19,Notenspiegel!$A$17:$B$117,2,0)</f>
        <v>5</v>
      </c>
    </row>
    <row r="20" spans="15:16">
      <c r="O20">
        <f t="shared" si="0"/>
        <v>0</v>
      </c>
      <c r="P20" s="11">
        <f>VLOOKUP(O20,Notenspiegel!$A$17:$B$117,2,0)</f>
        <v>5</v>
      </c>
    </row>
    <row r="21" spans="15:16">
      <c r="O21">
        <f t="shared" si="0"/>
        <v>0</v>
      </c>
      <c r="P21" s="11">
        <f>VLOOKUP(O21,Notenspiegel!$A$17:$B$117,2,0)</f>
        <v>5</v>
      </c>
    </row>
    <row r="22" spans="15:16">
      <c r="O22">
        <f t="shared" si="0"/>
        <v>0</v>
      </c>
      <c r="P22" s="11">
        <f>VLOOKUP(O22,Notenspiegel!$A$17:$B$117,2,0)</f>
        <v>5</v>
      </c>
    </row>
    <row r="23" spans="15:16">
      <c r="O23">
        <f t="shared" si="0"/>
        <v>0</v>
      </c>
      <c r="P23" s="11">
        <f>VLOOKUP(O23,Notenspiegel!$A$17:$B$117,2,0)</f>
        <v>5</v>
      </c>
    </row>
    <row r="24" spans="15:16">
      <c r="O24">
        <f t="shared" si="0"/>
        <v>0</v>
      </c>
      <c r="P24" s="11">
        <f>VLOOKUP(O24,Notenspiegel!$A$17:$B$117,2,0)</f>
        <v>5</v>
      </c>
    </row>
    <row r="25" spans="15:16">
      <c r="O25">
        <f t="shared" si="0"/>
        <v>0</v>
      </c>
      <c r="P25" s="11">
        <f>VLOOKUP(O25,Notenspiegel!$A$17:$B$117,2,0)</f>
        <v>5</v>
      </c>
    </row>
    <row r="26" spans="15:16">
      <c r="O26">
        <f t="shared" si="0"/>
        <v>0</v>
      </c>
      <c r="P26" s="11">
        <f>VLOOKUP(O26,Notenspiegel!$A$17:$B$117,2,0)</f>
        <v>5</v>
      </c>
    </row>
    <row r="27" spans="15:16">
      <c r="O27">
        <f t="shared" si="0"/>
        <v>0</v>
      </c>
      <c r="P27" s="11">
        <f>VLOOKUP(O27,Notenspiegel!$A$17:$B$117,2,0)</f>
        <v>5</v>
      </c>
    </row>
    <row r="28" spans="15:16">
      <c r="O28">
        <f t="shared" si="0"/>
        <v>0</v>
      </c>
      <c r="P28" s="11">
        <f>VLOOKUP(O28,Notenspiegel!$A$17:$B$117,2,0)</f>
        <v>5</v>
      </c>
    </row>
    <row r="29" spans="15:16">
      <c r="O29">
        <f t="shared" si="0"/>
        <v>0</v>
      </c>
      <c r="P29" s="11">
        <f>VLOOKUP(O29,Notenspiegel!$A$17:$B$117,2,0)</f>
        <v>5</v>
      </c>
    </row>
    <row r="30" spans="15:16">
      <c r="O30">
        <f t="shared" si="0"/>
        <v>0</v>
      </c>
      <c r="P30" s="11">
        <f>VLOOKUP(O30,Notenspiegel!$A$17:$B$117,2,0)</f>
        <v>5</v>
      </c>
    </row>
    <row r="31" spans="15:16">
      <c r="O31">
        <f t="shared" si="0"/>
        <v>0</v>
      </c>
      <c r="P31" s="11">
        <f>VLOOKUP(O31,Notenspiegel!$A$17:$B$117,2,0)</f>
        <v>5</v>
      </c>
    </row>
    <row r="32" spans="15:16">
      <c r="O32">
        <f t="shared" si="0"/>
        <v>0</v>
      </c>
      <c r="P32" s="11">
        <f>VLOOKUP(O32,Notenspiegel!$A$17:$B$117,2,0)</f>
        <v>5</v>
      </c>
    </row>
    <row r="33" spans="15:16">
      <c r="O33">
        <f t="shared" si="0"/>
        <v>0</v>
      </c>
      <c r="P33" s="11">
        <f>VLOOKUP(O33,Notenspiegel!$A$17:$B$117,2,0)</f>
        <v>5</v>
      </c>
    </row>
    <row r="34" spans="15:16">
      <c r="O34">
        <f t="shared" ref="O34:O65" si="1">SUM(E34:N34)</f>
        <v>0</v>
      </c>
      <c r="P34" s="11">
        <f>VLOOKUP(O34,Notenspiegel!$A$17:$B$117,2,0)</f>
        <v>5</v>
      </c>
    </row>
    <row r="35" spans="15:16">
      <c r="O35">
        <f t="shared" si="1"/>
        <v>0</v>
      </c>
      <c r="P35" s="11">
        <f>VLOOKUP(O35,Notenspiegel!$A$17:$B$117,2,0)</f>
        <v>5</v>
      </c>
    </row>
    <row r="36" spans="15:16">
      <c r="O36">
        <f t="shared" si="1"/>
        <v>0</v>
      </c>
      <c r="P36" s="11">
        <f>VLOOKUP(O36,Notenspiegel!$A$17:$B$117,2,0)</f>
        <v>5</v>
      </c>
    </row>
    <row r="37" spans="15:16">
      <c r="O37">
        <f t="shared" si="1"/>
        <v>0</v>
      </c>
      <c r="P37" s="11">
        <f>VLOOKUP(O37,Notenspiegel!$A$17:$B$117,2,0)</f>
        <v>5</v>
      </c>
    </row>
    <row r="38" spans="15:16">
      <c r="O38">
        <f t="shared" si="1"/>
        <v>0</v>
      </c>
      <c r="P38" s="11">
        <f>VLOOKUP(O38,Notenspiegel!$A$17:$B$117,2,0)</f>
        <v>5</v>
      </c>
    </row>
    <row r="39" spans="15:16">
      <c r="O39">
        <f t="shared" si="1"/>
        <v>0</v>
      </c>
      <c r="P39" s="11">
        <f>VLOOKUP(O39,Notenspiegel!$A$17:$B$117,2,0)</f>
        <v>5</v>
      </c>
    </row>
    <row r="40" spans="15:16">
      <c r="O40">
        <f t="shared" si="1"/>
        <v>0</v>
      </c>
      <c r="P40" s="11">
        <f>VLOOKUP(O40,Notenspiegel!$A$17:$B$117,2,0)</f>
        <v>5</v>
      </c>
    </row>
    <row r="41" spans="15:16">
      <c r="O41">
        <f t="shared" si="1"/>
        <v>0</v>
      </c>
      <c r="P41" s="11">
        <f>VLOOKUP(O41,Notenspiegel!$A$17:$B$117,2,0)</f>
        <v>5</v>
      </c>
    </row>
    <row r="42" spans="15:16">
      <c r="O42">
        <f t="shared" si="1"/>
        <v>0</v>
      </c>
      <c r="P42" s="11">
        <f>VLOOKUP(O42,Notenspiegel!$A$17:$B$117,2,0)</f>
        <v>5</v>
      </c>
    </row>
    <row r="43" spans="15:16">
      <c r="O43">
        <f t="shared" si="1"/>
        <v>0</v>
      </c>
      <c r="P43" s="11">
        <f>VLOOKUP(O43,Notenspiegel!$A$17:$B$117,2,0)</f>
        <v>5</v>
      </c>
    </row>
    <row r="44" spans="15:16">
      <c r="O44">
        <f t="shared" si="1"/>
        <v>0</v>
      </c>
      <c r="P44" s="11">
        <f>VLOOKUP(O44,Notenspiegel!$A$17:$B$117,2,0)</f>
        <v>5</v>
      </c>
    </row>
    <row r="45" spans="15:16">
      <c r="O45">
        <f t="shared" si="1"/>
        <v>0</v>
      </c>
      <c r="P45" s="11">
        <f>VLOOKUP(O45,Notenspiegel!$A$17:$B$117,2,0)</f>
        <v>5</v>
      </c>
    </row>
    <row r="46" spans="15:16">
      <c r="O46">
        <f t="shared" si="1"/>
        <v>0</v>
      </c>
      <c r="P46" s="11">
        <f>VLOOKUP(O46,Notenspiegel!$A$17:$B$117,2,0)</f>
        <v>5</v>
      </c>
    </row>
    <row r="47" spans="15:16">
      <c r="O47">
        <f t="shared" si="1"/>
        <v>0</v>
      </c>
      <c r="P47" s="11">
        <f>VLOOKUP(O47,Notenspiegel!$A$17:$B$117,2,0)</f>
        <v>5</v>
      </c>
    </row>
    <row r="48" spans="15:16">
      <c r="O48">
        <f t="shared" si="1"/>
        <v>0</v>
      </c>
      <c r="P48" s="11">
        <f>VLOOKUP(O48,Notenspiegel!$A$17:$B$117,2,0)</f>
        <v>5</v>
      </c>
    </row>
    <row r="49" spans="15:16">
      <c r="O49">
        <f t="shared" si="1"/>
        <v>0</v>
      </c>
      <c r="P49" s="11">
        <f>VLOOKUP(O49,Notenspiegel!$A$17:$B$117,2,0)</f>
        <v>5</v>
      </c>
    </row>
    <row r="50" spans="15:16">
      <c r="O50">
        <f t="shared" si="1"/>
        <v>0</v>
      </c>
      <c r="P50" s="11">
        <f>VLOOKUP(O50,Notenspiegel!$A$17:$B$117,2,0)</f>
        <v>5</v>
      </c>
    </row>
    <row r="51" spans="15:16">
      <c r="O51">
        <f t="shared" si="1"/>
        <v>0</v>
      </c>
      <c r="P51" s="11">
        <f>VLOOKUP(O51,Notenspiegel!$A$17:$B$117,2,0)</f>
        <v>5</v>
      </c>
    </row>
    <row r="52" spans="15:16">
      <c r="O52">
        <f t="shared" si="1"/>
        <v>0</v>
      </c>
      <c r="P52" s="11">
        <f>VLOOKUP(O52,Notenspiegel!$A$17:$B$117,2,0)</f>
        <v>5</v>
      </c>
    </row>
    <row r="53" spans="15:16">
      <c r="O53">
        <f t="shared" si="1"/>
        <v>0</v>
      </c>
      <c r="P53" s="11">
        <f>VLOOKUP(O53,Notenspiegel!$A$17:$B$117,2,0)</f>
        <v>5</v>
      </c>
    </row>
    <row r="54" spans="15:16">
      <c r="O54">
        <f t="shared" si="1"/>
        <v>0</v>
      </c>
      <c r="P54" s="11">
        <f>VLOOKUP(O54,Notenspiegel!$A$17:$B$117,2,0)</f>
        <v>5</v>
      </c>
    </row>
    <row r="55" spans="15:16">
      <c r="O55">
        <f t="shared" si="1"/>
        <v>0</v>
      </c>
      <c r="P55" s="11">
        <f>VLOOKUP(O55,Notenspiegel!$A$17:$B$117,2,0)</f>
        <v>5</v>
      </c>
    </row>
    <row r="56" spans="15:16">
      <c r="O56">
        <f t="shared" si="1"/>
        <v>0</v>
      </c>
      <c r="P56" s="11">
        <f>VLOOKUP(O56,Notenspiegel!$A$17:$B$117,2,0)</f>
        <v>5</v>
      </c>
    </row>
    <row r="57" spans="15:16">
      <c r="O57">
        <f t="shared" si="1"/>
        <v>0</v>
      </c>
      <c r="P57" s="11">
        <f>VLOOKUP(O57,Notenspiegel!$A$17:$B$117,2,0)</f>
        <v>5</v>
      </c>
    </row>
    <row r="58" spans="15:16">
      <c r="O58">
        <f t="shared" si="1"/>
        <v>0</v>
      </c>
      <c r="P58" s="11">
        <f>VLOOKUP(O58,Notenspiegel!$A$17:$B$117,2,0)</f>
        <v>5</v>
      </c>
    </row>
    <row r="59" spans="15:16">
      <c r="O59">
        <f t="shared" si="1"/>
        <v>0</v>
      </c>
      <c r="P59" s="11">
        <f>VLOOKUP(O59,Notenspiegel!$A$17:$B$117,2,0)</f>
        <v>5</v>
      </c>
    </row>
    <row r="60" spans="15:16">
      <c r="O60">
        <f t="shared" si="1"/>
        <v>0</v>
      </c>
      <c r="P60" s="11">
        <f>VLOOKUP(O60,Notenspiegel!$A$17:$B$117,2,0)</f>
        <v>5</v>
      </c>
    </row>
    <row r="61" spans="15:16">
      <c r="O61">
        <f t="shared" si="1"/>
        <v>0</v>
      </c>
      <c r="P61" s="11">
        <f>VLOOKUP(O61,Notenspiegel!$A$17:$B$117,2,0)</f>
        <v>5</v>
      </c>
    </row>
    <row r="62" spans="15:16">
      <c r="O62">
        <f t="shared" si="1"/>
        <v>0</v>
      </c>
      <c r="P62" s="11">
        <f>VLOOKUP(O62,Notenspiegel!$A$17:$B$117,2,0)</f>
        <v>5</v>
      </c>
    </row>
    <row r="63" spans="15:16">
      <c r="O63">
        <f t="shared" si="1"/>
        <v>0</v>
      </c>
      <c r="P63" s="11">
        <f>VLOOKUP(O63,Notenspiegel!$A$17:$B$117,2,0)</f>
        <v>5</v>
      </c>
    </row>
    <row r="64" spans="15:16">
      <c r="O64">
        <f t="shared" si="1"/>
        <v>0</v>
      </c>
      <c r="P64" s="11">
        <f>VLOOKUP(O64,Notenspiegel!$A$17:$B$117,2,0)</f>
        <v>5</v>
      </c>
    </row>
    <row r="65" spans="15:16">
      <c r="O65">
        <f t="shared" si="1"/>
        <v>0</v>
      </c>
      <c r="P65" s="11">
        <f>VLOOKUP(O65,Notenspiegel!$A$17:$B$117,2,0)</f>
        <v>5</v>
      </c>
    </row>
    <row r="66" spans="15:16">
      <c r="O66">
        <f t="shared" ref="O66:O79" si="2">SUM(E66:N66)</f>
        <v>0</v>
      </c>
      <c r="P66" s="11">
        <f>VLOOKUP(O66,Notenspiegel!$A$17:$B$117,2,0)</f>
        <v>5</v>
      </c>
    </row>
    <row r="67" spans="15:16">
      <c r="O67">
        <f t="shared" si="2"/>
        <v>0</v>
      </c>
      <c r="P67" s="11">
        <f>VLOOKUP(O67,Notenspiegel!$A$17:$B$117,2,0)</f>
        <v>5</v>
      </c>
    </row>
    <row r="68" spans="15:16">
      <c r="O68">
        <f t="shared" si="2"/>
        <v>0</v>
      </c>
      <c r="P68" s="11">
        <f>VLOOKUP(O68,Notenspiegel!$A$17:$B$117,2,0)</f>
        <v>5</v>
      </c>
    </row>
    <row r="69" spans="15:16">
      <c r="O69">
        <f t="shared" si="2"/>
        <v>0</v>
      </c>
      <c r="P69" s="11">
        <f>VLOOKUP(O69,Notenspiegel!$A$17:$B$117,2,0)</f>
        <v>5</v>
      </c>
    </row>
    <row r="70" spans="15:16">
      <c r="O70">
        <f t="shared" si="2"/>
        <v>0</v>
      </c>
      <c r="P70" s="11">
        <f>VLOOKUP(O70,Notenspiegel!$A$17:$B$117,2,0)</f>
        <v>5</v>
      </c>
    </row>
    <row r="71" spans="15:16">
      <c r="O71">
        <f t="shared" si="2"/>
        <v>0</v>
      </c>
      <c r="P71" s="11">
        <f>VLOOKUP(O71,Notenspiegel!$A$17:$B$117,2,0)</f>
        <v>5</v>
      </c>
    </row>
    <row r="72" spans="15:16">
      <c r="O72">
        <f t="shared" si="2"/>
        <v>0</v>
      </c>
      <c r="P72" s="11">
        <f>VLOOKUP(O72,Notenspiegel!$A$17:$B$117,2,0)</f>
        <v>5</v>
      </c>
    </row>
    <row r="73" spans="15:16">
      <c r="O73">
        <f t="shared" si="2"/>
        <v>0</v>
      </c>
      <c r="P73" s="11">
        <f>VLOOKUP(O73,Notenspiegel!$A$17:$B$117,2,0)</f>
        <v>5</v>
      </c>
    </row>
    <row r="74" spans="15:16">
      <c r="O74">
        <f t="shared" si="2"/>
        <v>0</v>
      </c>
      <c r="P74" s="11">
        <f>VLOOKUP(O74,Notenspiegel!$A$17:$B$117,2,0)</f>
        <v>5</v>
      </c>
    </row>
    <row r="75" spans="15:16">
      <c r="O75">
        <f t="shared" si="2"/>
        <v>0</v>
      </c>
      <c r="P75" s="11">
        <f>VLOOKUP(O75,Notenspiegel!$A$17:$B$117,2,0)</f>
        <v>5</v>
      </c>
    </row>
    <row r="76" spans="15:16">
      <c r="O76">
        <f t="shared" si="2"/>
        <v>0</v>
      </c>
      <c r="P76" s="11">
        <f>VLOOKUP(O76,Notenspiegel!$A$17:$B$117,2,0)</f>
        <v>5</v>
      </c>
    </row>
    <row r="77" spans="15:16">
      <c r="O77">
        <f t="shared" si="2"/>
        <v>0</v>
      </c>
      <c r="P77" s="11">
        <f>VLOOKUP(O77,Notenspiegel!$A$17:$B$117,2,0)</f>
        <v>5</v>
      </c>
    </row>
    <row r="78" spans="15:16">
      <c r="O78">
        <f t="shared" si="2"/>
        <v>0</v>
      </c>
      <c r="P78" s="11">
        <f>VLOOKUP(O78,Notenspiegel!$A$17:$B$117,2,0)</f>
        <v>5</v>
      </c>
    </row>
    <row r="79" spans="15:16">
      <c r="O79">
        <f t="shared" si="2"/>
        <v>0</v>
      </c>
      <c r="P79" s="11">
        <f>VLOOKUP(O79,Notenspiegel!$A$17:$B$117,2,0)</f>
        <v>5</v>
      </c>
    </row>
  </sheetData>
  <pageMargins left="0.7" right="0.7" top="0.7875" bottom="0.7875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0"/>
  <sheetViews>
    <sheetView workbookViewId="0">
      <selection activeCell="F2" sqref="F2"/>
    </sheetView>
  </sheetViews>
  <sheetFormatPr defaultColWidth="8.5047619047619" defaultRowHeight="15" outlineLevelCol="6"/>
  <cols>
    <col min="1" max="3" width="10.8285714285714" customWidth="1"/>
    <col min="4" max="4" width="17.1619047619048" customWidth="1"/>
    <col min="5" max="1025" width="10.8285714285714" customWidth="1"/>
  </cols>
  <sheetData>
    <row r="1" spans="1:7">
      <c r="A1" s="10" t="s">
        <v>1</v>
      </c>
      <c r="B1" s="10" t="s">
        <v>2</v>
      </c>
      <c r="C1" s="10" t="s">
        <v>3</v>
      </c>
      <c r="D1" s="10" t="s">
        <v>4</v>
      </c>
      <c r="E1" s="10" t="s">
        <v>42</v>
      </c>
      <c r="F1" s="10" t="s">
        <v>43</v>
      </c>
      <c r="G1" s="10" t="s">
        <v>44</v>
      </c>
    </row>
    <row r="2" spans="1:7">
      <c r="G2">
        <f t="shared" ref="G2:G33" si="0">(E2+(F2*2))/3</f>
        <v>0</v>
      </c>
    </row>
    <row r="3" spans="1:7">
      <c r="G3">
        <f t="shared" si="0"/>
        <v>0</v>
      </c>
    </row>
    <row r="4" spans="1:7">
      <c r="G4">
        <f t="shared" si="0"/>
        <v>0</v>
      </c>
    </row>
    <row r="5" spans="1:7">
      <c r="G5">
        <f t="shared" si="0"/>
        <v>0</v>
      </c>
    </row>
    <row r="6" spans="1:7">
      <c r="G6">
        <f t="shared" si="0"/>
        <v>0</v>
      </c>
    </row>
    <row r="7" spans="1:7">
      <c r="G7">
        <f t="shared" si="0"/>
        <v>0</v>
      </c>
    </row>
    <row r="8" spans="1:7">
      <c r="G8">
        <f t="shared" si="0"/>
        <v>0</v>
      </c>
    </row>
    <row r="9" spans="1:7">
      <c r="G9">
        <f t="shared" si="0"/>
        <v>0</v>
      </c>
    </row>
    <row r="10" spans="1:7">
      <c r="G10">
        <f t="shared" si="0"/>
        <v>0</v>
      </c>
    </row>
    <row r="11" spans="1:7">
      <c r="G11">
        <f t="shared" si="0"/>
        <v>0</v>
      </c>
    </row>
    <row r="12" spans="1:7">
      <c r="G12">
        <f t="shared" si="0"/>
        <v>0</v>
      </c>
    </row>
    <row r="13" spans="1:7">
      <c r="G13">
        <f t="shared" si="0"/>
        <v>0</v>
      </c>
    </row>
    <row r="14" spans="1:7">
      <c r="G14">
        <f t="shared" si="0"/>
        <v>0</v>
      </c>
    </row>
    <row r="15" spans="1:7">
      <c r="G15">
        <f t="shared" si="0"/>
        <v>0</v>
      </c>
    </row>
    <row r="16" spans="1:7">
      <c r="G16">
        <f t="shared" si="0"/>
        <v>0</v>
      </c>
    </row>
    <row r="17" spans="7:7">
      <c r="G17">
        <f t="shared" si="0"/>
        <v>0</v>
      </c>
    </row>
    <row r="18" spans="7:7">
      <c r="G18">
        <f t="shared" si="0"/>
        <v>0</v>
      </c>
    </row>
    <row r="19" spans="7:7">
      <c r="G19">
        <f t="shared" si="0"/>
        <v>0</v>
      </c>
    </row>
    <row r="20" spans="7:7">
      <c r="G20">
        <f t="shared" si="0"/>
        <v>0</v>
      </c>
    </row>
    <row r="21" spans="7:7">
      <c r="G21">
        <f t="shared" si="0"/>
        <v>0</v>
      </c>
    </row>
    <row r="22" spans="7:7">
      <c r="G22">
        <f t="shared" si="0"/>
        <v>0</v>
      </c>
    </row>
    <row r="23" spans="7:7">
      <c r="G23">
        <f t="shared" si="0"/>
        <v>0</v>
      </c>
    </row>
    <row r="24" spans="7:7">
      <c r="G24">
        <f t="shared" si="0"/>
        <v>0</v>
      </c>
    </row>
    <row r="25" spans="7:7">
      <c r="G25">
        <f t="shared" si="0"/>
        <v>0</v>
      </c>
    </row>
    <row r="26" spans="7:7">
      <c r="G26">
        <f t="shared" si="0"/>
        <v>0</v>
      </c>
    </row>
    <row r="27" spans="7:7">
      <c r="G27">
        <f t="shared" si="0"/>
        <v>0</v>
      </c>
    </row>
    <row r="28" spans="7:7">
      <c r="G28">
        <f t="shared" si="0"/>
        <v>0</v>
      </c>
    </row>
    <row r="29" spans="7:7">
      <c r="G29">
        <f t="shared" si="0"/>
        <v>0</v>
      </c>
    </row>
    <row r="30" spans="7:7">
      <c r="G30">
        <f t="shared" si="0"/>
        <v>0</v>
      </c>
    </row>
    <row r="31" spans="7:7">
      <c r="G31">
        <f t="shared" si="0"/>
        <v>0</v>
      </c>
    </row>
    <row r="32" spans="7:7">
      <c r="G32">
        <f t="shared" si="0"/>
        <v>0</v>
      </c>
    </row>
    <row r="33" spans="7:7">
      <c r="G33">
        <f t="shared" si="0"/>
        <v>0</v>
      </c>
    </row>
    <row r="34" spans="7:7">
      <c r="G34">
        <f t="shared" ref="G34:G65" si="1">(E34+(F34*2))/3</f>
        <v>0</v>
      </c>
    </row>
    <row r="35" spans="7:7">
      <c r="G35">
        <f t="shared" si="1"/>
        <v>0</v>
      </c>
    </row>
    <row r="36" spans="7:7">
      <c r="G36">
        <f t="shared" si="1"/>
        <v>0</v>
      </c>
    </row>
    <row r="37" spans="7:7">
      <c r="G37">
        <f t="shared" si="1"/>
        <v>0</v>
      </c>
    </row>
    <row r="38" spans="7:7">
      <c r="G38">
        <f t="shared" si="1"/>
        <v>0</v>
      </c>
    </row>
    <row r="39" spans="7:7">
      <c r="G39">
        <f t="shared" si="1"/>
        <v>0</v>
      </c>
    </row>
    <row r="40" spans="7:7">
      <c r="G40">
        <f t="shared" si="1"/>
        <v>0</v>
      </c>
    </row>
    <row r="41" spans="7:7">
      <c r="G41">
        <f t="shared" si="1"/>
        <v>0</v>
      </c>
    </row>
    <row r="42" spans="7:7">
      <c r="G42">
        <f t="shared" si="1"/>
        <v>0</v>
      </c>
    </row>
    <row r="43" spans="7:7">
      <c r="G43">
        <f t="shared" si="1"/>
        <v>0</v>
      </c>
    </row>
    <row r="44" spans="7:7">
      <c r="G44">
        <f t="shared" si="1"/>
        <v>0</v>
      </c>
    </row>
    <row r="45" spans="7:7">
      <c r="G45">
        <f t="shared" si="1"/>
        <v>0</v>
      </c>
    </row>
    <row r="46" spans="7:7">
      <c r="G46">
        <f t="shared" si="1"/>
        <v>0</v>
      </c>
    </row>
    <row r="47" spans="7:7">
      <c r="G47">
        <f t="shared" si="1"/>
        <v>0</v>
      </c>
    </row>
    <row r="48" spans="7:7">
      <c r="G48">
        <f t="shared" si="1"/>
        <v>0</v>
      </c>
    </row>
    <row r="49" spans="7:7">
      <c r="G49">
        <f t="shared" si="1"/>
        <v>0</v>
      </c>
    </row>
    <row r="50" spans="7:7">
      <c r="G50">
        <f t="shared" si="1"/>
        <v>0</v>
      </c>
    </row>
    <row r="51" spans="7:7">
      <c r="G51">
        <f t="shared" si="1"/>
        <v>0</v>
      </c>
    </row>
    <row r="52" spans="7:7">
      <c r="G52">
        <f t="shared" si="1"/>
        <v>0</v>
      </c>
    </row>
    <row r="53" spans="7:7">
      <c r="G53">
        <f t="shared" si="1"/>
        <v>0</v>
      </c>
    </row>
    <row r="54" spans="7:7">
      <c r="G54">
        <f t="shared" si="1"/>
        <v>0</v>
      </c>
    </row>
    <row r="55" spans="7:7">
      <c r="G55">
        <f t="shared" si="1"/>
        <v>0</v>
      </c>
    </row>
    <row r="56" spans="7:7">
      <c r="G56">
        <f t="shared" si="1"/>
        <v>0</v>
      </c>
    </row>
    <row r="57" spans="7:7">
      <c r="G57">
        <f t="shared" si="1"/>
        <v>0</v>
      </c>
    </row>
    <row r="58" spans="7:7">
      <c r="G58">
        <f t="shared" si="1"/>
        <v>0</v>
      </c>
    </row>
    <row r="59" spans="7:7">
      <c r="G59">
        <f t="shared" si="1"/>
        <v>0</v>
      </c>
    </row>
    <row r="60" spans="7:7">
      <c r="G60">
        <f t="shared" si="1"/>
        <v>0</v>
      </c>
    </row>
    <row r="61" spans="7:7">
      <c r="G61">
        <f t="shared" si="1"/>
        <v>0</v>
      </c>
    </row>
    <row r="62" spans="7:7">
      <c r="G62">
        <f t="shared" si="1"/>
        <v>0</v>
      </c>
    </row>
    <row r="63" spans="7:7">
      <c r="G63">
        <f t="shared" si="1"/>
        <v>0</v>
      </c>
    </row>
    <row r="64" spans="7:7">
      <c r="G64">
        <f t="shared" si="1"/>
        <v>0</v>
      </c>
    </row>
    <row r="65" spans="7:7">
      <c r="G65">
        <f t="shared" si="1"/>
        <v>0</v>
      </c>
    </row>
    <row r="66" spans="7:7">
      <c r="G66">
        <f t="shared" ref="G66:G80" si="2">(E66+(F66*2))/3</f>
        <v>0</v>
      </c>
    </row>
    <row r="67" spans="7:7">
      <c r="G67">
        <f t="shared" si="2"/>
        <v>0</v>
      </c>
    </row>
    <row r="68" spans="7:7">
      <c r="G68">
        <f t="shared" si="2"/>
        <v>0</v>
      </c>
    </row>
    <row r="69" spans="7:7">
      <c r="G69">
        <f t="shared" si="2"/>
        <v>0</v>
      </c>
    </row>
    <row r="70" spans="7:7">
      <c r="G70">
        <f t="shared" si="2"/>
        <v>0</v>
      </c>
    </row>
    <row r="71" spans="7:7">
      <c r="G71">
        <f t="shared" si="2"/>
        <v>0</v>
      </c>
    </row>
    <row r="72" spans="7:7">
      <c r="G72">
        <f t="shared" si="2"/>
        <v>0</v>
      </c>
    </row>
    <row r="73" spans="7:7">
      <c r="G73">
        <f t="shared" si="2"/>
        <v>0</v>
      </c>
    </row>
    <row r="74" spans="7:7">
      <c r="G74">
        <f t="shared" si="2"/>
        <v>0</v>
      </c>
    </row>
    <row r="75" spans="7:7">
      <c r="G75">
        <f t="shared" si="2"/>
        <v>0</v>
      </c>
    </row>
    <row r="76" spans="7:7">
      <c r="G76">
        <f t="shared" si="2"/>
        <v>0</v>
      </c>
    </row>
    <row r="77" spans="7:7">
      <c r="G77">
        <f t="shared" si="2"/>
        <v>0</v>
      </c>
    </row>
    <row r="78" spans="7:7">
      <c r="G78">
        <f t="shared" si="2"/>
        <v>0</v>
      </c>
    </row>
    <row r="79" spans="7:7">
      <c r="G79">
        <f t="shared" si="2"/>
        <v>0</v>
      </c>
    </row>
    <row r="80" spans="7:7">
      <c r="G80">
        <f t="shared" si="2"/>
        <v>0</v>
      </c>
    </row>
  </sheetData>
  <pageMargins left="0.7" right="0.7" top="0.7875" bottom="0.7875" header="0.511811023622047" footer="0.511811023622047"/>
  <pageSetup paperSize="9" orientation="portrait" horizontalDpi="300" verticalDpi="300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7"/>
  <sheetViews>
    <sheetView workbookViewId="0">
      <selection activeCell="F20" sqref="F20"/>
    </sheetView>
  </sheetViews>
  <sheetFormatPr defaultColWidth="8.5047619047619" defaultRowHeight="15"/>
  <cols>
    <col min="1" max="1025" width="10.8285714285714" customWidth="1"/>
  </cols>
  <sheetData>
    <row r="1" ht="23.25" spans="1:10">
      <c r="A1" s="1" t="s">
        <v>43</v>
      </c>
      <c r="B1" s="2"/>
      <c r="C1" s="2"/>
      <c r="D1" s="1" t="s">
        <v>42</v>
      </c>
      <c r="E1" s="2"/>
      <c r="F1" s="2"/>
      <c r="G1" s="2"/>
      <c r="H1" s="2" t="s">
        <v>43</v>
      </c>
      <c r="I1" s="2"/>
      <c r="J1" s="2"/>
    </row>
    <row r="2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spans="1:10">
      <c r="A3" s="3" t="s">
        <v>40</v>
      </c>
      <c r="B3" s="3" t="s">
        <v>41</v>
      </c>
      <c r="C3" s="2"/>
      <c r="D3" s="3" t="s">
        <v>40</v>
      </c>
      <c r="E3" s="3" t="s">
        <v>41</v>
      </c>
      <c r="F3" s="2"/>
      <c r="G3" s="2"/>
      <c r="H3" s="2" t="s">
        <v>45</v>
      </c>
      <c r="I3" s="2" t="s">
        <v>46</v>
      </c>
      <c r="J3" s="2" t="s">
        <v>41</v>
      </c>
    </row>
    <row r="4" spans="1:10">
      <c r="A4" s="4" t="s">
        <v>47</v>
      </c>
      <c r="B4" s="5">
        <v>1</v>
      </c>
      <c r="C4" s="2"/>
      <c r="D4" s="6" t="s">
        <v>48</v>
      </c>
      <c r="E4" s="5">
        <v>1</v>
      </c>
      <c r="F4" s="2"/>
      <c r="G4" s="2"/>
      <c r="H4" s="2">
        <v>96</v>
      </c>
      <c r="I4" s="7">
        <v>100</v>
      </c>
      <c r="J4" s="5">
        <v>1</v>
      </c>
    </row>
    <row r="5" spans="1:10">
      <c r="A5" s="4" t="s">
        <v>49</v>
      </c>
      <c r="B5" s="5">
        <v>1.3</v>
      </c>
      <c r="C5" s="2"/>
      <c r="D5" s="6" t="s">
        <v>50</v>
      </c>
      <c r="E5" s="5">
        <v>1.3</v>
      </c>
      <c r="F5" s="2"/>
      <c r="G5" s="2"/>
      <c r="H5" s="2">
        <v>91</v>
      </c>
      <c r="I5" s="7">
        <v>95</v>
      </c>
      <c r="J5" s="5">
        <v>1.3</v>
      </c>
    </row>
    <row r="6" spans="1:10">
      <c r="A6" s="4" t="s">
        <v>51</v>
      </c>
      <c r="B6" s="5">
        <v>1.7</v>
      </c>
      <c r="C6" s="2"/>
      <c r="D6" s="6" t="s">
        <v>52</v>
      </c>
      <c r="E6" s="5">
        <v>1.7</v>
      </c>
      <c r="F6" s="2"/>
      <c r="G6" s="2"/>
      <c r="H6" s="2">
        <v>85</v>
      </c>
      <c r="I6" s="7">
        <v>90</v>
      </c>
      <c r="J6" s="5">
        <v>1.7</v>
      </c>
    </row>
    <row r="7" spans="1:10">
      <c r="A7" s="4" t="s">
        <v>53</v>
      </c>
      <c r="B7" s="5">
        <v>2</v>
      </c>
      <c r="C7" s="2"/>
      <c r="D7" s="8">
        <v>24</v>
      </c>
      <c r="E7" s="5">
        <v>2</v>
      </c>
      <c r="F7" s="2"/>
      <c r="G7" s="2"/>
      <c r="H7" s="2">
        <v>80</v>
      </c>
      <c r="I7" s="7">
        <v>84</v>
      </c>
      <c r="J7" s="5">
        <v>2</v>
      </c>
    </row>
    <row r="8" spans="1:10">
      <c r="A8" s="4" t="s">
        <v>54</v>
      </c>
      <c r="B8" s="5">
        <v>2.3</v>
      </c>
      <c r="C8" s="2"/>
      <c r="D8" s="8">
        <v>23</v>
      </c>
      <c r="E8" s="5">
        <v>2.3</v>
      </c>
      <c r="F8" s="2"/>
      <c r="G8" s="2"/>
      <c r="H8" s="2">
        <v>75</v>
      </c>
      <c r="I8" s="7">
        <v>79</v>
      </c>
      <c r="J8" s="5">
        <v>2.3</v>
      </c>
    </row>
    <row r="9" spans="1:10">
      <c r="A9" s="4" t="s">
        <v>55</v>
      </c>
      <c r="B9" s="5">
        <v>2.7</v>
      </c>
      <c r="C9" s="2"/>
      <c r="D9" s="6" t="s">
        <v>56</v>
      </c>
      <c r="E9" s="5">
        <v>2.7</v>
      </c>
      <c r="F9" s="2"/>
      <c r="G9" s="2"/>
      <c r="H9" s="2">
        <v>70</v>
      </c>
      <c r="I9" s="7">
        <v>74</v>
      </c>
      <c r="J9" s="5">
        <v>2.7</v>
      </c>
    </row>
    <row r="10" spans="1:10">
      <c r="A10" s="4" t="s">
        <v>57</v>
      </c>
      <c r="B10" s="5">
        <v>3</v>
      </c>
      <c r="C10" s="2"/>
      <c r="D10" s="8">
        <v>20</v>
      </c>
      <c r="E10" s="5">
        <v>3</v>
      </c>
      <c r="F10" s="2"/>
      <c r="G10" s="2"/>
      <c r="H10" s="2">
        <v>65</v>
      </c>
      <c r="I10" s="7">
        <v>69</v>
      </c>
      <c r="J10" s="5">
        <v>3</v>
      </c>
    </row>
    <row r="11" spans="1:10">
      <c r="A11" s="4" t="s">
        <v>58</v>
      </c>
      <c r="B11" s="5">
        <v>3.3</v>
      </c>
      <c r="C11" s="2"/>
      <c r="D11" s="6" t="s">
        <v>59</v>
      </c>
      <c r="E11" s="5">
        <v>3.3</v>
      </c>
      <c r="F11" s="2"/>
      <c r="G11" s="2"/>
      <c r="H11" s="2">
        <v>60</v>
      </c>
      <c r="I11" s="7">
        <v>64</v>
      </c>
      <c r="J11" s="5">
        <v>3.3</v>
      </c>
    </row>
    <row r="12" spans="1:10">
      <c r="A12" s="4" t="s">
        <v>60</v>
      </c>
      <c r="B12" s="5">
        <v>3.7</v>
      </c>
      <c r="C12" s="2"/>
      <c r="D12" s="8">
        <v>17</v>
      </c>
      <c r="E12" s="5">
        <v>3.7</v>
      </c>
      <c r="F12" s="2"/>
      <c r="G12" s="2"/>
      <c r="H12" s="2">
        <v>55</v>
      </c>
      <c r="I12" s="7">
        <v>59</v>
      </c>
      <c r="J12" s="5">
        <v>3.7</v>
      </c>
    </row>
    <row r="13" spans="1:10">
      <c r="A13" s="4" t="s">
        <v>61</v>
      </c>
      <c r="B13" s="5">
        <v>4</v>
      </c>
      <c r="C13" s="2"/>
      <c r="D13" s="6" t="s">
        <v>62</v>
      </c>
      <c r="E13" s="5">
        <v>4</v>
      </c>
      <c r="F13" s="2"/>
      <c r="G13" s="2"/>
      <c r="H13" s="2">
        <v>50</v>
      </c>
      <c r="I13" s="7">
        <v>54</v>
      </c>
      <c r="J13" s="5">
        <v>4</v>
      </c>
    </row>
    <row r="14" spans="1:10">
      <c r="A14" s="4" t="s">
        <v>63</v>
      </c>
      <c r="B14" s="5">
        <v>4.7</v>
      </c>
      <c r="C14" s="2"/>
      <c r="D14" s="9" t="s">
        <v>64</v>
      </c>
      <c r="E14" s="5">
        <v>4.7</v>
      </c>
      <c r="F14" s="2"/>
      <c r="G14" s="2"/>
      <c r="H14" s="2">
        <v>15</v>
      </c>
      <c r="I14" s="7">
        <v>49</v>
      </c>
      <c r="J14" s="5">
        <v>4.7</v>
      </c>
    </row>
    <row r="15" spans="1:10">
      <c r="A15" s="4" t="s">
        <v>65</v>
      </c>
      <c r="B15" s="5">
        <v>5</v>
      </c>
      <c r="C15" s="2"/>
      <c r="D15" s="9" t="s">
        <v>66</v>
      </c>
      <c r="E15" s="5">
        <v>5</v>
      </c>
      <c r="F15" s="2"/>
      <c r="G15" s="2"/>
      <c r="H15" s="2">
        <v>0</v>
      </c>
      <c r="I15" s="7">
        <v>14</v>
      </c>
      <c r="J15" s="5">
        <v>5</v>
      </c>
    </row>
    <row r="16" spans="1:10">
      <c r="A16" s="4"/>
      <c r="B16" s="2"/>
      <c r="C16" s="2"/>
      <c r="D16" s="2"/>
      <c r="E16" s="2"/>
      <c r="F16" s="2"/>
      <c r="G16" s="2"/>
      <c r="H16" s="2"/>
      <c r="I16" s="2"/>
      <c r="J16" s="2"/>
    </row>
    <row r="17" spans="1:10">
      <c r="A17" s="2">
        <v>100</v>
      </c>
      <c r="B17" s="5">
        <v>1</v>
      </c>
      <c r="C17" s="2"/>
      <c r="D17" s="2">
        <v>30</v>
      </c>
      <c r="E17" s="5">
        <v>1</v>
      </c>
      <c r="F17" s="2"/>
      <c r="G17" s="2"/>
      <c r="H17" s="2"/>
      <c r="I17" s="2"/>
      <c r="J17" s="2"/>
    </row>
    <row r="18" spans="1:10">
      <c r="A18" s="2">
        <v>99</v>
      </c>
      <c r="B18" s="5">
        <v>1</v>
      </c>
      <c r="C18" s="2"/>
      <c r="D18" s="2">
        <v>29</v>
      </c>
      <c r="E18" s="5">
        <v>1</v>
      </c>
      <c r="F18" s="2"/>
      <c r="G18" s="2"/>
      <c r="H18" s="2"/>
      <c r="I18" s="2"/>
      <c r="J18" s="2"/>
    </row>
    <row r="19" spans="1:10">
      <c r="A19" s="2">
        <v>98</v>
      </c>
      <c r="B19" s="5">
        <v>1</v>
      </c>
      <c r="C19" s="2"/>
      <c r="D19" s="2">
        <v>28</v>
      </c>
      <c r="E19" s="5">
        <v>1.3</v>
      </c>
      <c r="F19" s="2"/>
      <c r="G19" s="2"/>
      <c r="H19" s="2"/>
      <c r="I19" s="2"/>
      <c r="J19" s="2"/>
    </row>
    <row r="20" spans="1:10">
      <c r="A20" s="2">
        <v>97</v>
      </c>
      <c r="B20" s="5">
        <v>1</v>
      </c>
      <c r="C20" s="2"/>
      <c r="D20" s="2">
        <v>27</v>
      </c>
      <c r="E20" s="5">
        <v>1.3</v>
      </c>
      <c r="F20" s="2"/>
      <c r="G20" s="2"/>
      <c r="H20" s="2"/>
      <c r="I20" s="2"/>
      <c r="J20" s="2"/>
    </row>
    <row r="21" spans="1:10">
      <c r="A21" s="2">
        <v>96</v>
      </c>
      <c r="B21" s="5">
        <v>1</v>
      </c>
      <c r="C21" s="2"/>
      <c r="D21" s="2">
        <v>26</v>
      </c>
      <c r="E21" s="5">
        <v>1.7</v>
      </c>
      <c r="F21" s="2"/>
      <c r="G21" s="2"/>
      <c r="H21" s="2"/>
      <c r="I21" s="2"/>
      <c r="J21" s="2"/>
    </row>
    <row r="22" spans="1:10">
      <c r="A22" s="2">
        <v>95</v>
      </c>
      <c r="B22" s="2">
        <v>1.3</v>
      </c>
      <c r="C22" s="2"/>
      <c r="D22" s="2">
        <v>25</v>
      </c>
      <c r="E22" s="5">
        <v>1.7</v>
      </c>
      <c r="F22" s="2"/>
      <c r="G22" s="2"/>
      <c r="H22" s="2"/>
      <c r="I22" s="2"/>
      <c r="J22" s="2"/>
    </row>
    <row r="23" spans="1:10">
      <c r="A23" s="2">
        <v>94</v>
      </c>
      <c r="B23" s="2">
        <v>1.3</v>
      </c>
      <c r="C23" s="2"/>
      <c r="D23" s="2">
        <v>24</v>
      </c>
      <c r="E23" s="5">
        <v>2</v>
      </c>
      <c r="F23" s="2"/>
      <c r="G23" s="2"/>
      <c r="H23" s="2"/>
      <c r="I23" s="2"/>
      <c r="J23" s="2"/>
    </row>
    <row r="24" spans="1:10">
      <c r="A24" s="2">
        <v>93</v>
      </c>
      <c r="B24" s="2">
        <v>1.3</v>
      </c>
      <c r="C24" s="2"/>
      <c r="D24" s="2">
        <v>23</v>
      </c>
      <c r="E24" s="5">
        <v>2.3</v>
      </c>
      <c r="F24" s="2"/>
      <c r="G24" s="2"/>
      <c r="H24" s="2"/>
      <c r="I24" s="2"/>
      <c r="J24" s="2"/>
    </row>
    <row r="25" spans="1:10">
      <c r="A25" s="2">
        <v>92</v>
      </c>
      <c r="B25" s="2">
        <v>1.3</v>
      </c>
      <c r="C25" s="2"/>
      <c r="D25" s="2">
        <v>22</v>
      </c>
      <c r="E25" s="5">
        <v>2.7</v>
      </c>
      <c r="F25" s="2"/>
      <c r="G25" s="2"/>
      <c r="H25" s="2"/>
      <c r="I25" s="2"/>
      <c r="J25" s="2"/>
    </row>
    <row r="26" spans="1:10">
      <c r="A26" s="2">
        <v>91</v>
      </c>
      <c r="B26" s="2">
        <v>1.3</v>
      </c>
      <c r="C26" s="2"/>
      <c r="D26" s="2">
        <v>21</v>
      </c>
      <c r="E26" s="5">
        <v>2.7</v>
      </c>
      <c r="F26" s="2"/>
      <c r="G26" s="2"/>
      <c r="H26" s="2"/>
      <c r="I26" s="2"/>
      <c r="J26" s="2"/>
    </row>
    <row r="27" spans="1:10">
      <c r="A27" s="2">
        <v>90</v>
      </c>
      <c r="B27" s="2">
        <v>1.7</v>
      </c>
      <c r="C27" s="2"/>
      <c r="D27" s="2">
        <v>20</v>
      </c>
      <c r="E27" s="5">
        <v>3</v>
      </c>
      <c r="F27" s="2"/>
      <c r="G27" s="2"/>
      <c r="H27" s="2"/>
      <c r="I27" s="2"/>
      <c r="J27" s="2"/>
    </row>
    <row r="28" spans="1:10">
      <c r="A28" s="2">
        <v>89</v>
      </c>
      <c r="B28" s="2">
        <v>1.7</v>
      </c>
      <c r="C28" s="2"/>
      <c r="D28" s="2">
        <v>19</v>
      </c>
      <c r="E28" s="5">
        <v>3.3</v>
      </c>
      <c r="F28" s="2"/>
      <c r="G28" s="2"/>
      <c r="H28" s="2"/>
      <c r="I28" s="2"/>
      <c r="J28" s="2"/>
    </row>
    <row r="29" spans="1:10">
      <c r="A29" s="2">
        <v>88</v>
      </c>
      <c r="B29" s="2">
        <v>1.7</v>
      </c>
      <c r="C29" s="2"/>
      <c r="D29" s="2">
        <v>18</v>
      </c>
      <c r="E29" s="5">
        <v>3.3</v>
      </c>
      <c r="F29" s="2"/>
      <c r="G29" s="2"/>
      <c r="H29" s="2"/>
      <c r="I29" s="2"/>
      <c r="J29" s="2"/>
    </row>
    <row r="30" spans="1:10">
      <c r="A30" s="2">
        <v>87</v>
      </c>
      <c r="B30" s="2">
        <v>1.7</v>
      </c>
      <c r="C30" s="2"/>
      <c r="D30" s="2">
        <v>17</v>
      </c>
      <c r="E30" s="5">
        <v>3.7</v>
      </c>
      <c r="F30" s="2"/>
      <c r="G30" s="2"/>
      <c r="H30" s="2"/>
      <c r="I30" s="2"/>
      <c r="J30" s="2"/>
    </row>
    <row r="31" spans="1:10">
      <c r="A31" s="2">
        <v>86</v>
      </c>
      <c r="B31" s="2">
        <v>1.7</v>
      </c>
      <c r="C31" s="2"/>
      <c r="D31" s="2">
        <v>16</v>
      </c>
      <c r="E31" s="5">
        <v>4</v>
      </c>
      <c r="F31" s="2"/>
      <c r="G31" s="2"/>
      <c r="H31" s="2"/>
      <c r="I31" s="2"/>
      <c r="J31" s="2"/>
    </row>
    <row r="32" spans="1:10">
      <c r="A32" s="2">
        <v>85</v>
      </c>
      <c r="B32" s="2">
        <v>1.7</v>
      </c>
      <c r="C32" s="2"/>
      <c r="D32" s="2">
        <v>15</v>
      </c>
      <c r="E32" s="5">
        <v>4</v>
      </c>
      <c r="F32" s="2"/>
      <c r="G32" s="2"/>
      <c r="H32" s="2"/>
      <c r="I32" s="2"/>
      <c r="J32" s="2"/>
    </row>
    <row r="33" spans="1:10">
      <c r="A33" s="2">
        <v>84</v>
      </c>
      <c r="B33" s="2">
        <v>2</v>
      </c>
      <c r="C33" s="2"/>
      <c r="D33" s="2">
        <v>14</v>
      </c>
      <c r="E33" s="5">
        <v>4.7</v>
      </c>
      <c r="F33" s="2"/>
      <c r="G33" s="2"/>
      <c r="H33" s="2"/>
      <c r="I33" s="2"/>
      <c r="J33" s="2"/>
    </row>
    <row r="34" spans="1:10">
      <c r="A34" s="2">
        <v>83</v>
      </c>
      <c r="B34" s="2">
        <v>2</v>
      </c>
      <c r="C34" s="2"/>
      <c r="D34" s="2">
        <v>13</v>
      </c>
      <c r="E34" s="5">
        <v>4.7</v>
      </c>
      <c r="F34" s="2"/>
      <c r="G34" s="2"/>
      <c r="H34" s="2"/>
      <c r="I34" s="2"/>
      <c r="J34" s="2"/>
    </row>
    <row r="35" spans="1:10">
      <c r="A35" s="2">
        <v>82</v>
      </c>
      <c r="B35" s="2">
        <v>2</v>
      </c>
      <c r="C35" s="2"/>
      <c r="D35" s="2">
        <v>12</v>
      </c>
      <c r="E35" s="5">
        <v>4.7</v>
      </c>
      <c r="F35" s="2"/>
      <c r="G35" s="2"/>
      <c r="H35" s="2"/>
      <c r="I35" s="2"/>
      <c r="J35" s="2"/>
    </row>
    <row r="36" spans="1:10">
      <c r="A36" s="2">
        <v>81</v>
      </c>
      <c r="B36" s="2">
        <v>2</v>
      </c>
      <c r="C36" s="2"/>
      <c r="D36" s="2">
        <v>11</v>
      </c>
      <c r="E36" s="5">
        <v>4.7</v>
      </c>
      <c r="F36" s="2"/>
      <c r="G36" s="2"/>
      <c r="H36" s="2"/>
      <c r="I36" s="2"/>
      <c r="J36" s="2"/>
    </row>
    <row r="37" spans="1:10">
      <c r="A37" s="2">
        <v>80</v>
      </c>
      <c r="B37" s="2">
        <v>2</v>
      </c>
      <c r="C37" s="2"/>
      <c r="D37" s="2">
        <v>10</v>
      </c>
      <c r="E37" s="5">
        <v>4.7</v>
      </c>
      <c r="F37" s="2"/>
      <c r="G37" s="2"/>
      <c r="H37" s="2"/>
      <c r="I37" s="2"/>
      <c r="J37" s="2"/>
    </row>
    <row r="38" spans="1:10">
      <c r="A38" s="2">
        <v>79</v>
      </c>
      <c r="B38" s="2">
        <v>2.3</v>
      </c>
      <c r="C38" s="2"/>
      <c r="D38" s="2">
        <v>9</v>
      </c>
      <c r="E38" s="5">
        <v>4.7</v>
      </c>
      <c r="F38" s="2"/>
      <c r="G38" s="2"/>
      <c r="H38" s="2"/>
      <c r="I38" s="2"/>
      <c r="J38" s="2"/>
    </row>
    <row r="39" spans="1:10">
      <c r="A39" s="2">
        <v>78</v>
      </c>
      <c r="B39" s="2">
        <v>2.3</v>
      </c>
      <c r="C39" s="2"/>
      <c r="D39" s="2">
        <v>8</v>
      </c>
      <c r="E39" s="5">
        <v>4.7</v>
      </c>
      <c r="F39" s="2"/>
      <c r="G39" s="2"/>
      <c r="H39" s="2"/>
      <c r="I39" s="2"/>
      <c r="J39" s="2"/>
    </row>
    <row r="40" spans="1:10">
      <c r="A40" s="2">
        <v>77</v>
      </c>
      <c r="B40" s="2">
        <v>2.3</v>
      </c>
      <c r="C40" s="2"/>
      <c r="D40" s="2">
        <v>7</v>
      </c>
      <c r="E40" s="5">
        <v>4.7</v>
      </c>
      <c r="F40" s="2"/>
      <c r="G40" s="2"/>
      <c r="H40" s="2"/>
      <c r="I40" s="2"/>
      <c r="J40" s="2"/>
    </row>
    <row r="41" spans="1:10">
      <c r="A41" s="2">
        <v>76</v>
      </c>
      <c r="B41" s="2">
        <v>2.3</v>
      </c>
      <c r="C41" s="2"/>
      <c r="D41" s="2">
        <v>6</v>
      </c>
      <c r="E41" s="5">
        <v>4.7</v>
      </c>
      <c r="F41" s="2"/>
      <c r="G41" s="2"/>
      <c r="H41" s="2"/>
      <c r="I41" s="2"/>
      <c r="J41" s="2"/>
    </row>
    <row r="42" spans="1:10">
      <c r="A42" s="2">
        <v>75</v>
      </c>
      <c r="B42" s="2">
        <v>2.3</v>
      </c>
      <c r="C42" s="2"/>
      <c r="D42" s="2">
        <v>5</v>
      </c>
      <c r="E42" s="5">
        <v>4.7</v>
      </c>
      <c r="F42" s="2"/>
      <c r="G42" s="2"/>
      <c r="H42" s="2"/>
      <c r="I42" s="2"/>
      <c r="J42" s="2"/>
    </row>
    <row r="43" spans="1:10">
      <c r="A43" s="2">
        <v>74</v>
      </c>
      <c r="B43" s="2">
        <v>2.7</v>
      </c>
      <c r="C43" s="2"/>
      <c r="D43" s="2">
        <v>4</v>
      </c>
      <c r="E43" s="5">
        <v>5</v>
      </c>
      <c r="F43" s="2"/>
      <c r="G43" s="2"/>
      <c r="H43" s="2"/>
      <c r="I43" s="2"/>
      <c r="J43" s="2"/>
    </row>
    <row r="44" spans="1:10">
      <c r="A44" s="2">
        <v>73</v>
      </c>
      <c r="B44" s="2">
        <v>2.7</v>
      </c>
      <c r="C44" s="2"/>
      <c r="D44" s="2">
        <v>3</v>
      </c>
      <c r="E44" s="5">
        <v>5</v>
      </c>
      <c r="F44" s="2"/>
      <c r="G44" s="2"/>
      <c r="H44" s="2"/>
      <c r="I44" s="2"/>
      <c r="J44" s="2"/>
    </row>
    <row r="45" spans="1:10">
      <c r="A45" s="2">
        <v>72</v>
      </c>
      <c r="B45" s="2">
        <v>2.7</v>
      </c>
      <c r="C45" s="2"/>
      <c r="D45" s="2">
        <v>2</v>
      </c>
      <c r="E45" s="5">
        <v>5</v>
      </c>
      <c r="F45" s="2"/>
      <c r="G45" s="2"/>
      <c r="H45" s="2"/>
      <c r="I45" s="2"/>
      <c r="J45" s="2"/>
    </row>
    <row r="46" spans="1:10">
      <c r="A46" s="2">
        <v>71</v>
      </c>
      <c r="B46" s="2">
        <v>2.7</v>
      </c>
      <c r="C46" s="2"/>
      <c r="D46" s="2">
        <v>1</v>
      </c>
      <c r="E46" s="5">
        <v>5</v>
      </c>
      <c r="F46" s="2"/>
      <c r="G46" s="2"/>
      <c r="H46" s="2"/>
      <c r="I46" s="2"/>
      <c r="J46" s="2"/>
    </row>
    <row r="47" spans="1:10">
      <c r="A47" s="2">
        <v>70</v>
      </c>
      <c r="B47" s="2">
        <v>2.7</v>
      </c>
      <c r="C47" s="2"/>
      <c r="D47" s="2">
        <v>0</v>
      </c>
      <c r="E47" s="5">
        <v>5</v>
      </c>
      <c r="F47" s="2"/>
      <c r="G47" s="2"/>
      <c r="H47" s="2"/>
      <c r="I47" s="2"/>
      <c r="J47" s="2"/>
    </row>
    <row r="48" spans="1:10">
      <c r="A48" s="2">
        <v>69</v>
      </c>
      <c r="B48" s="2">
        <v>3</v>
      </c>
      <c r="C48" s="2"/>
      <c r="D48" s="2"/>
      <c r="E48" s="2"/>
      <c r="F48" s="2"/>
      <c r="G48" s="2"/>
      <c r="H48" s="2"/>
      <c r="I48" s="2"/>
      <c r="J48" s="2"/>
    </row>
    <row r="49" spans="1:10">
      <c r="A49" s="2">
        <v>68</v>
      </c>
      <c r="B49" s="2">
        <v>3</v>
      </c>
      <c r="C49" s="2"/>
      <c r="D49" s="2"/>
      <c r="E49" s="2"/>
      <c r="F49" s="2"/>
      <c r="G49" s="2"/>
      <c r="H49" s="2"/>
      <c r="I49" s="2"/>
      <c r="J49" s="2"/>
    </row>
    <row r="50" spans="1:10">
      <c r="A50" s="2">
        <v>67</v>
      </c>
      <c r="B50" s="2">
        <v>3</v>
      </c>
      <c r="C50" s="2"/>
      <c r="D50" s="2"/>
      <c r="E50" s="2"/>
      <c r="F50" s="2"/>
      <c r="G50" s="2"/>
      <c r="H50" s="2"/>
      <c r="I50" s="2"/>
      <c r="J50" s="2"/>
    </row>
    <row r="51" spans="1:10">
      <c r="A51" s="2">
        <v>66</v>
      </c>
      <c r="B51" s="2">
        <v>3</v>
      </c>
      <c r="C51" s="2"/>
      <c r="D51" s="2"/>
      <c r="E51" s="2"/>
      <c r="F51" s="2"/>
      <c r="G51" s="2"/>
      <c r="H51" s="2"/>
      <c r="I51" s="2"/>
      <c r="J51" s="2"/>
    </row>
    <row r="52" spans="1:10">
      <c r="A52" s="2">
        <v>65</v>
      </c>
      <c r="B52" s="2">
        <v>3</v>
      </c>
      <c r="C52" s="2"/>
      <c r="D52" s="2"/>
      <c r="E52" s="2"/>
      <c r="F52" s="2"/>
      <c r="G52" s="2"/>
      <c r="H52" s="2"/>
      <c r="I52" s="2"/>
      <c r="J52" s="2"/>
    </row>
    <row r="53" spans="1:10">
      <c r="A53" s="2">
        <v>64</v>
      </c>
      <c r="B53" s="2">
        <v>3.3</v>
      </c>
      <c r="C53" s="2"/>
      <c r="D53" s="2"/>
      <c r="E53" s="2"/>
      <c r="F53" s="2"/>
      <c r="G53" s="2"/>
      <c r="H53" s="2"/>
      <c r="I53" s="2"/>
      <c r="J53" s="2"/>
    </row>
    <row r="54" spans="1:10">
      <c r="A54" s="2">
        <v>63</v>
      </c>
      <c r="B54" s="2">
        <v>3.3</v>
      </c>
      <c r="C54" s="2"/>
      <c r="D54" s="2"/>
      <c r="E54" s="2"/>
      <c r="F54" s="2"/>
      <c r="G54" s="2"/>
      <c r="H54" s="2"/>
      <c r="I54" s="2"/>
      <c r="J54" s="2"/>
    </row>
    <row r="55" spans="1:10">
      <c r="A55" s="2">
        <v>62</v>
      </c>
      <c r="B55" s="2">
        <v>3.3</v>
      </c>
      <c r="C55" s="2"/>
      <c r="D55" s="2"/>
      <c r="E55" s="2"/>
      <c r="F55" s="2"/>
      <c r="G55" s="2"/>
      <c r="H55" s="2"/>
      <c r="I55" s="2"/>
      <c r="J55" s="2"/>
    </row>
    <row r="56" spans="1:10">
      <c r="A56" s="2">
        <v>61</v>
      </c>
      <c r="B56" s="2">
        <v>3.3</v>
      </c>
      <c r="C56" s="2"/>
      <c r="D56" s="2"/>
      <c r="E56" s="2"/>
      <c r="F56" s="2"/>
      <c r="G56" s="2"/>
      <c r="H56" s="2"/>
      <c r="I56" s="2"/>
      <c r="J56" s="2"/>
    </row>
    <row r="57" spans="1:10">
      <c r="A57" s="2">
        <v>60</v>
      </c>
      <c r="B57" s="2">
        <v>3.3</v>
      </c>
      <c r="C57" s="2"/>
      <c r="D57" s="2"/>
      <c r="E57" s="2"/>
      <c r="F57" s="2"/>
      <c r="G57" s="2"/>
      <c r="H57" s="2"/>
      <c r="I57" s="2"/>
      <c r="J57" s="2"/>
    </row>
    <row r="58" spans="1:10">
      <c r="A58" s="2">
        <v>59</v>
      </c>
      <c r="B58" s="2">
        <v>3.7</v>
      </c>
      <c r="C58" s="2"/>
      <c r="D58" s="2"/>
      <c r="E58" s="2"/>
      <c r="F58" s="2"/>
      <c r="G58" s="2"/>
      <c r="H58" s="2"/>
      <c r="I58" s="2"/>
      <c r="J58" s="2"/>
    </row>
    <row r="59" spans="1:10">
      <c r="A59" s="2">
        <v>58</v>
      </c>
      <c r="B59" s="2">
        <v>3.7</v>
      </c>
      <c r="C59" s="2"/>
      <c r="D59" s="2"/>
      <c r="E59" s="2"/>
      <c r="F59" s="2"/>
      <c r="G59" s="2"/>
      <c r="H59" s="2"/>
      <c r="I59" s="2"/>
      <c r="J59" s="2"/>
    </row>
    <row r="60" spans="1:10">
      <c r="A60" s="2">
        <v>57</v>
      </c>
      <c r="B60" s="2">
        <v>3.7</v>
      </c>
      <c r="C60" s="2"/>
      <c r="D60" s="2"/>
      <c r="E60" s="2"/>
      <c r="F60" s="2"/>
      <c r="G60" s="2"/>
      <c r="H60" s="2"/>
      <c r="I60" s="2"/>
      <c r="J60" s="2"/>
    </row>
    <row r="61" spans="1:10">
      <c r="A61" s="2">
        <v>56</v>
      </c>
      <c r="B61" s="2">
        <v>3.7</v>
      </c>
      <c r="C61" s="2"/>
      <c r="D61" s="2"/>
      <c r="E61" s="2"/>
      <c r="F61" s="2"/>
      <c r="G61" s="2"/>
      <c r="H61" s="2"/>
      <c r="I61" s="2"/>
      <c r="J61" s="2"/>
    </row>
    <row r="62" spans="1:10">
      <c r="A62" s="2">
        <v>55</v>
      </c>
      <c r="B62" s="2">
        <v>3.7</v>
      </c>
      <c r="C62" s="2"/>
      <c r="D62" s="2"/>
      <c r="E62" s="2"/>
      <c r="F62" s="2"/>
      <c r="G62" s="2"/>
      <c r="H62" s="2"/>
      <c r="I62" s="2"/>
      <c r="J62" s="2"/>
    </row>
    <row r="63" spans="1:10">
      <c r="A63" s="2">
        <v>54</v>
      </c>
      <c r="B63" s="2">
        <v>4</v>
      </c>
      <c r="C63" s="2"/>
      <c r="D63" s="2"/>
      <c r="E63" s="2"/>
      <c r="F63" s="2"/>
      <c r="G63" s="2"/>
      <c r="H63" s="2"/>
      <c r="I63" s="2"/>
      <c r="J63" s="2"/>
    </row>
    <row r="64" spans="1:10">
      <c r="A64" s="2">
        <v>53</v>
      </c>
      <c r="B64" s="2">
        <v>4</v>
      </c>
      <c r="C64" s="2"/>
      <c r="D64" s="2"/>
      <c r="E64" s="2"/>
      <c r="F64" s="2"/>
      <c r="G64" s="2"/>
      <c r="H64" s="2"/>
      <c r="I64" s="2"/>
      <c r="J64" s="2"/>
    </row>
    <row r="65" spans="1:10">
      <c r="A65" s="2">
        <v>52</v>
      </c>
      <c r="B65" s="2">
        <v>4</v>
      </c>
      <c r="C65" s="2"/>
      <c r="D65" s="2"/>
      <c r="E65" s="2"/>
      <c r="F65" s="2"/>
      <c r="G65" s="2"/>
      <c r="H65" s="2"/>
      <c r="I65" s="2"/>
      <c r="J65" s="2"/>
    </row>
    <row r="66" spans="1:10">
      <c r="A66" s="2">
        <v>51</v>
      </c>
      <c r="B66" s="2">
        <v>4</v>
      </c>
      <c r="C66" s="2"/>
      <c r="D66" s="2"/>
      <c r="E66" s="2"/>
      <c r="F66" s="2"/>
      <c r="G66" s="2"/>
      <c r="H66" s="2"/>
      <c r="I66" s="2"/>
      <c r="J66" s="2"/>
    </row>
    <row r="67" spans="1:10">
      <c r="A67" s="2">
        <v>50</v>
      </c>
      <c r="B67" s="2">
        <v>4</v>
      </c>
      <c r="C67" s="2"/>
      <c r="D67" s="2"/>
      <c r="E67" s="2"/>
      <c r="F67" s="2"/>
      <c r="G67" s="2"/>
      <c r="H67" s="2"/>
      <c r="I67" s="2"/>
      <c r="J67" s="2"/>
    </row>
    <row r="68" spans="1:10">
      <c r="A68" s="2">
        <v>49</v>
      </c>
      <c r="B68" s="2">
        <v>4.7</v>
      </c>
      <c r="C68" s="2"/>
      <c r="D68" s="2"/>
      <c r="E68" s="2"/>
      <c r="F68" s="2"/>
      <c r="G68" s="2"/>
      <c r="H68" s="2"/>
      <c r="I68" s="2"/>
      <c r="J68" s="2"/>
    </row>
    <row r="69" spans="1:10">
      <c r="A69" s="2">
        <v>48</v>
      </c>
      <c r="B69" s="2">
        <v>4.7</v>
      </c>
      <c r="C69" s="2"/>
      <c r="D69" s="2"/>
      <c r="E69" s="2"/>
      <c r="F69" s="2"/>
      <c r="G69" s="2"/>
      <c r="H69" s="2"/>
      <c r="I69" s="2"/>
      <c r="J69" s="2"/>
    </row>
    <row r="70" spans="1:10">
      <c r="A70" s="2">
        <v>47</v>
      </c>
      <c r="B70" s="2">
        <v>4.7</v>
      </c>
      <c r="C70" s="2"/>
      <c r="D70" s="2"/>
      <c r="E70" s="2"/>
      <c r="F70" s="2"/>
      <c r="G70" s="2"/>
      <c r="H70" s="2"/>
      <c r="I70" s="2"/>
      <c r="J70" s="2"/>
    </row>
    <row r="71" spans="1:10">
      <c r="A71" s="2">
        <v>46</v>
      </c>
      <c r="B71" s="2">
        <v>4.7</v>
      </c>
      <c r="C71" s="2"/>
      <c r="D71" s="2"/>
      <c r="E71" s="2"/>
      <c r="F71" s="2"/>
      <c r="G71" s="2"/>
      <c r="H71" s="2"/>
      <c r="I71" s="2"/>
      <c r="J71" s="2"/>
    </row>
    <row r="72" spans="1:10">
      <c r="A72" s="2">
        <v>45</v>
      </c>
      <c r="B72" s="2">
        <v>4.7</v>
      </c>
      <c r="C72" s="2"/>
      <c r="D72" s="2"/>
      <c r="E72" s="2"/>
      <c r="F72" s="2"/>
      <c r="G72" s="2"/>
      <c r="H72" s="2"/>
      <c r="I72" s="2"/>
      <c r="J72" s="2"/>
    </row>
    <row r="73" spans="1:10">
      <c r="A73" s="2">
        <v>44</v>
      </c>
      <c r="B73" s="2">
        <v>4.7</v>
      </c>
      <c r="C73" s="2"/>
      <c r="D73" s="2"/>
      <c r="E73" s="2"/>
      <c r="F73" s="2"/>
      <c r="G73" s="2"/>
      <c r="H73" s="2"/>
      <c r="I73" s="2"/>
      <c r="J73" s="2"/>
    </row>
    <row r="74" spans="1:10">
      <c r="A74" s="2">
        <v>43</v>
      </c>
      <c r="B74" s="2">
        <v>4.7</v>
      </c>
      <c r="C74" s="2"/>
      <c r="D74" s="2"/>
      <c r="E74" s="2"/>
      <c r="F74" s="2"/>
      <c r="G74" s="2"/>
      <c r="H74" s="2"/>
      <c r="I74" s="2"/>
      <c r="J74" s="2"/>
    </row>
    <row r="75" spans="1:10">
      <c r="A75" s="2">
        <v>42</v>
      </c>
      <c r="B75" s="2">
        <v>4.7</v>
      </c>
      <c r="C75" s="2"/>
      <c r="D75" s="2"/>
      <c r="E75" s="2"/>
      <c r="F75" s="2"/>
      <c r="G75" s="2"/>
      <c r="H75" s="2"/>
      <c r="I75" s="2"/>
      <c r="J75" s="2"/>
    </row>
    <row r="76" spans="1:10">
      <c r="A76" s="2">
        <v>41</v>
      </c>
      <c r="B76" s="2">
        <v>4.7</v>
      </c>
      <c r="C76" s="2"/>
      <c r="D76" s="2"/>
      <c r="E76" s="2"/>
      <c r="F76" s="2"/>
      <c r="G76" s="2"/>
      <c r="H76" s="2"/>
      <c r="I76" s="2"/>
      <c r="J76" s="2"/>
    </row>
    <row r="77" spans="1:10">
      <c r="A77" s="2">
        <v>40</v>
      </c>
      <c r="B77" s="2">
        <v>4.7</v>
      </c>
      <c r="C77" s="2"/>
      <c r="D77" s="2"/>
      <c r="E77" s="2"/>
      <c r="F77" s="2"/>
      <c r="G77" s="2"/>
      <c r="H77" s="2"/>
      <c r="I77" s="2"/>
      <c r="J77" s="2"/>
    </row>
    <row r="78" spans="1:10">
      <c r="A78" s="2">
        <v>39</v>
      </c>
      <c r="B78" s="2">
        <v>4.7</v>
      </c>
      <c r="C78" s="2"/>
      <c r="D78" s="2"/>
      <c r="E78" s="2"/>
      <c r="F78" s="2"/>
      <c r="G78" s="2"/>
      <c r="H78" s="2"/>
      <c r="I78" s="2"/>
      <c r="J78" s="2"/>
    </row>
    <row r="79" spans="1:10">
      <c r="A79" s="2">
        <v>38</v>
      </c>
      <c r="B79" s="2">
        <v>4.7</v>
      </c>
      <c r="C79" s="2"/>
      <c r="D79" s="2"/>
      <c r="E79" s="2"/>
      <c r="F79" s="2"/>
      <c r="G79" s="2"/>
      <c r="H79" s="2"/>
      <c r="I79" s="2"/>
      <c r="J79" s="2"/>
    </row>
    <row r="80" spans="1:10">
      <c r="A80" s="2">
        <v>37</v>
      </c>
      <c r="B80" s="2">
        <v>4.7</v>
      </c>
      <c r="C80" s="2"/>
      <c r="D80" s="2"/>
      <c r="E80" s="2"/>
      <c r="F80" s="2"/>
      <c r="G80" s="2"/>
      <c r="H80" s="2"/>
      <c r="I80" s="2"/>
      <c r="J80" s="2"/>
    </row>
    <row r="81" spans="1:10">
      <c r="A81" s="2">
        <v>36</v>
      </c>
      <c r="B81" s="2">
        <v>4.7</v>
      </c>
      <c r="C81" s="2"/>
      <c r="D81" s="2"/>
      <c r="E81" s="2"/>
      <c r="F81" s="2"/>
      <c r="G81" s="2"/>
      <c r="H81" s="2"/>
      <c r="I81" s="2"/>
      <c r="J81" s="2"/>
    </row>
    <row r="82" spans="1:10">
      <c r="A82" s="2">
        <v>35</v>
      </c>
      <c r="B82" s="2">
        <v>4.7</v>
      </c>
      <c r="C82" s="2"/>
      <c r="D82" s="2"/>
      <c r="E82" s="2"/>
      <c r="F82" s="2"/>
      <c r="G82" s="2"/>
      <c r="H82" s="2"/>
      <c r="I82" s="2"/>
      <c r="J82" s="2"/>
    </row>
    <row r="83" spans="1:10">
      <c r="A83" s="2">
        <v>34</v>
      </c>
      <c r="B83" s="2">
        <v>4.7</v>
      </c>
      <c r="C83" s="2"/>
      <c r="D83" s="2"/>
      <c r="E83" s="2"/>
      <c r="F83" s="2"/>
      <c r="G83" s="2"/>
      <c r="H83" s="2"/>
      <c r="I83" s="2"/>
      <c r="J83" s="2"/>
    </row>
    <row r="84" spans="1:10">
      <c r="A84" s="2">
        <v>33</v>
      </c>
      <c r="B84" s="2">
        <v>4.7</v>
      </c>
      <c r="C84" s="2"/>
      <c r="D84" s="2"/>
      <c r="E84" s="2"/>
      <c r="F84" s="2"/>
      <c r="G84" s="2"/>
      <c r="H84" s="2"/>
      <c r="I84" s="2"/>
      <c r="J84" s="2"/>
    </row>
    <row r="85" spans="1:10">
      <c r="A85" s="2">
        <v>32</v>
      </c>
      <c r="B85" s="2">
        <v>4.7</v>
      </c>
      <c r="C85" s="2"/>
      <c r="D85" s="2"/>
      <c r="E85" s="2"/>
      <c r="F85" s="2"/>
      <c r="G85" s="2"/>
      <c r="H85" s="2"/>
      <c r="I85" s="2"/>
      <c r="J85" s="2"/>
    </row>
    <row r="86" spans="1:10">
      <c r="A86" s="2">
        <v>31</v>
      </c>
      <c r="B86" s="2">
        <v>4.7</v>
      </c>
      <c r="C86" s="2"/>
      <c r="D86" s="2"/>
      <c r="E86" s="2"/>
      <c r="F86" s="2"/>
      <c r="G86" s="2"/>
      <c r="H86" s="2"/>
      <c r="I86" s="2"/>
      <c r="J86" s="2"/>
    </row>
    <row r="87" spans="1:10">
      <c r="A87" s="2">
        <v>30</v>
      </c>
      <c r="B87" s="2">
        <v>4.7</v>
      </c>
      <c r="C87" s="2"/>
      <c r="D87" s="2"/>
      <c r="E87" s="2"/>
      <c r="F87" s="2"/>
      <c r="G87" s="2"/>
      <c r="H87" s="2"/>
      <c r="I87" s="2"/>
      <c r="J87" s="2"/>
    </row>
    <row r="88" spans="1:10">
      <c r="A88" s="2">
        <v>29</v>
      </c>
      <c r="B88" s="2">
        <v>4.7</v>
      </c>
      <c r="C88" s="2"/>
      <c r="D88" s="2"/>
      <c r="E88" s="2"/>
      <c r="F88" s="2"/>
      <c r="G88" s="2"/>
      <c r="H88" s="2"/>
      <c r="I88" s="2"/>
      <c r="J88" s="2"/>
    </row>
    <row r="89" spans="1:10">
      <c r="A89" s="2">
        <v>28</v>
      </c>
      <c r="B89" s="2">
        <v>4.7</v>
      </c>
      <c r="C89" s="2"/>
      <c r="D89" s="2"/>
      <c r="E89" s="2"/>
      <c r="F89" s="2"/>
      <c r="G89" s="2"/>
      <c r="H89" s="2"/>
      <c r="I89" s="2"/>
      <c r="J89" s="2"/>
    </row>
    <row r="90" spans="1:10">
      <c r="A90" s="2">
        <v>27</v>
      </c>
      <c r="B90" s="2">
        <v>4.7</v>
      </c>
      <c r="C90" s="2"/>
      <c r="D90" s="2"/>
      <c r="E90" s="2"/>
      <c r="F90" s="2"/>
      <c r="G90" s="2"/>
      <c r="H90" s="2"/>
      <c r="I90" s="2"/>
      <c r="J90" s="2"/>
    </row>
    <row r="91" spans="1:10">
      <c r="A91" s="2">
        <v>26</v>
      </c>
      <c r="B91" s="2">
        <v>4.7</v>
      </c>
      <c r="C91" s="2"/>
      <c r="D91" s="2"/>
      <c r="E91" s="2"/>
      <c r="F91" s="2"/>
      <c r="G91" s="2"/>
      <c r="H91" s="2"/>
      <c r="I91" s="2"/>
      <c r="J91" s="2"/>
    </row>
    <row r="92" spans="1:10">
      <c r="A92" s="2">
        <v>25</v>
      </c>
      <c r="B92" s="2">
        <v>4.7</v>
      </c>
      <c r="C92" s="2"/>
      <c r="D92" s="2"/>
      <c r="E92" s="2"/>
      <c r="F92" s="2"/>
      <c r="G92" s="2"/>
      <c r="H92" s="2"/>
      <c r="I92" s="2"/>
      <c r="J92" s="2"/>
    </row>
    <row r="93" spans="1:10">
      <c r="A93" s="2">
        <v>24</v>
      </c>
      <c r="B93" s="2">
        <v>4.7</v>
      </c>
      <c r="C93" s="2"/>
      <c r="D93" s="2"/>
      <c r="E93" s="2"/>
      <c r="F93" s="2"/>
      <c r="G93" s="2"/>
      <c r="H93" s="2"/>
      <c r="I93" s="2"/>
      <c r="J93" s="2"/>
    </row>
    <row r="94" spans="1:10">
      <c r="A94" s="2">
        <v>23</v>
      </c>
      <c r="B94" s="2">
        <v>4.7</v>
      </c>
      <c r="C94" s="2"/>
      <c r="D94" s="2"/>
      <c r="E94" s="2"/>
      <c r="F94" s="2"/>
      <c r="G94" s="2"/>
      <c r="H94" s="2"/>
      <c r="I94" s="2"/>
      <c r="J94" s="2"/>
    </row>
    <row r="95" spans="1:10">
      <c r="A95" s="2">
        <v>22</v>
      </c>
      <c r="B95" s="2">
        <v>4.7</v>
      </c>
      <c r="C95" s="2"/>
      <c r="D95" s="2"/>
      <c r="E95" s="2"/>
      <c r="F95" s="2"/>
      <c r="G95" s="2"/>
      <c r="H95" s="2"/>
      <c r="I95" s="2"/>
      <c r="J95" s="2"/>
    </row>
    <row r="96" spans="1:10">
      <c r="A96" s="2">
        <v>21</v>
      </c>
      <c r="B96" s="2">
        <v>4.7</v>
      </c>
      <c r="C96" s="2"/>
      <c r="D96" s="2"/>
      <c r="E96" s="2"/>
      <c r="F96" s="2"/>
      <c r="G96" s="2"/>
      <c r="H96" s="2"/>
      <c r="I96" s="2"/>
      <c r="J96" s="2"/>
    </row>
    <row r="97" spans="1:10">
      <c r="A97" s="2">
        <v>20</v>
      </c>
      <c r="B97" s="2">
        <v>4.7</v>
      </c>
      <c r="C97" s="2"/>
      <c r="D97" s="2"/>
      <c r="E97" s="2"/>
      <c r="F97" s="2"/>
      <c r="G97" s="2"/>
      <c r="H97" s="2"/>
      <c r="I97" s="2"/>
      <c r="J97" s="2"/>
    </row>
    <row r="98" spans="1:10">
      <c r="A98" s="2">
        <v>19</v>
      </c>
      <c r="B98" s="2">
        <v>4.7</v>
      </c>
      <c r="C98" s="2"/>
      <c r="D98" s="2"/>
      <c r="E98" s="2"/>
      <c r="F98" s="2"/>
      <c r="G98" s="2"/>
      <c r="H98" s="2"/>
      <c r="I98" s="2"/>
      <c r="J98" s="2"/>
    </row>
    <row r="99" spans="1:10">
      <c r="A99" s="2">
        <v>18</v>
      </c>
      <c r="B99" s="2">
        <v>4.7</v>
      </c>
      <c r="C99" s="2"/>
      <c r="D99" s="2"/>
      <c r="E99" s="2"/>
      <c r="F99" s="2"/>
      <c r="G99" s="2"/>
      <c r="H99" s="2"/>
      <c r="I99" s="2"/>
      <c r="J99" s="2"/>
    </row>
    <row r="100" spans="1:10">
      <c r="A100" s="2">
        <v>17</v>
      </c>
      <c r="B100" s="2">
        <v>4.7</v>
      </c>
      <c r="C100" s="2"/>
      <c r="D100" s="2"/>
      <c r="E100" s="2"/>
      <c r="F100" s="2"/>
      <c r="G100" s="2"/>
      <c r="H100" s="2"/>
      <c r="I100" s="2"/>
      <c r="J100" s="2"/>
    </row>
    <row r="101" spans="1:10">
      <c r="A101" s="2">
        <v>16</v>
      </c>
      <c r="B101" s="2">
        <v>4.7</v>
      </c>
      <c r="C101" s="2"/>
      <c r="D101" s="2"/>
      <c r="E101" s="2"/>
      <c r="F101" s="2"/>
      <c r="G101" s="2"/>
      <c r="H101" s="2"/>
      <c r="I101" s="2"/>
      <c r="J101" s="2"/>
    </row>
    <row r="102" spans="1:10">
      <c r="A102" s="2">
        <v>15</v>
      </c>
      <c r="B102" s="2">
        <v>4.7</v>
      </c>
      <c r="C102" s="2"/>
      <c r="D102" s="2"/>
      <c r="E102" s="2"/>
      <c r="F102" s="2"/>
      <c r="G102" s="2"/>
      <c r="H102" s="2"/>
      <c r="I102" s="2"/>
      <c r="J102" s="2"/>
    </row>
    <row r="103" spans="1:10">
      <c r="A103" s="2">
        <v>14</v>
      </c>
      <c r="B103" s="2">
        <v>5</v>
      </c>
      <c r="C103" s="2"/>
      <c r="D103" s="2"/>
      <c r="E103" s="2"/>
      <c r="F103" s="2"/>
      <c r="G103" s="2"/>
      <c r="H103" s="2"/>
      <c r="I103" s="2"/>
      <c r="J103" s="2"/>
    </row>
    <row r="104" spans="1:10">
      <c r="A104" s="2">
        <v>13</v>
      </c>
      <c r="B104" s="2">
        <v>5</v>
      </c>
      <c r="C104" s="2"/>
      <c r="D104" s="2"/>
      <c r="E104" s="2"/>
      <c r="F104" s="2"/>
      <c r="G104" s="2"/>
      <c r="H104" s="2"/>
      <c r="I104" s="2"/>
      <c r="J104" s="2"/>
    </row>
    <row r="105" spans="1:10">
      <c r="A105" s="2">
        <v>12</v>
      </c>
      <c r="B105" s="2">
        <v>5</v>
      </c>
      <c r="C105" s="2"/>
      <c r="D105" s="2"/>
      <c r="E105" s="2"/>
      <c r="F105" s="2"/>
      <c r="G105" s="2"/>
      <c r="H105" s="2"/>
      <c r="I105" s="2"/>
      <c r="J105" s="2"/>
    </row>
    <row r="106" spans="1:10">
      <c r="A106" s="2">
        <v>11</v>
      </c>
      <c r="B106" s="2">
        <v>5</v>
      </c>
      <c r="C106" s="2"/>
      <c r="D106" s="2"/>
      <c r="E106" s="2"/>
      <c r="F106" s="2"/>
      <c r="G106" s="2"/>
      <c r="H106" s="2"/>
      <c r="I106" s="2"/>
      <c r="J106" s="2"/>
    </row>
    <row r="107" spans="1:10">
      <c r="A107" s="2">
        <v>10</v>
      </c>
      <c r="B107" s="2">
        <v>5</v>
      </c>
      <c r="C107" s="2"/>
      <c r="D107" s="2"/>
      <c r="E107" s="2"/>
      <c r="F107" s="2"/>
      <c r="G107" s="2"/>
      <c r="H107" s="2"/>
      <c r="I107" s="2"/>
      <c r="J107" s="2"/>
    </row>
    <row r="108" spans="1:10">
      <c r="A108" s="2">
        <v>9</v>
      </c>
      <c r="B108" s="2">
        <v>5</v>
      </c>
      <c r="C108" s="2"/>
      <c r="D108" s="2"/>
      <c r="E108" s="2"/>
      <c r="F108" s="2"/>
      <c r="G108" s="2"/>
      <c r="H108" s="2"/>
      <c r="I108" s="2"/>
      <c r="J108" s="2"/>
    </row>
    <row r="109" spans="1:10">
      <c r="A109" s="2">
        <v>8</v>
      </c>
      <c r="B109" s="2">
        <v>5</v>
      </c>
      <c r="C109" s="2"/>
      <c r="D109" s="2"/>
      <c r="E109" s="2"/>
      <c r="F109" s="2"/>
      <c r="G109" s="2"/>
      <c r="H109" s="2"/>
      <c r="I109" s="2"/>
      <c r="J109" s="2"/>
    </row>
    <row r="110" spans="1:10">
      <c r="A110" s="2">
        <v>7</v>
      </c>
      <c r="B110" s="2">
        <v>5</v>
      </c>
      <c r="C110" s="2"/>
      <c r="D110" s="2"/>
      <c r="E110" s="2"/>
      <c r="F110" s="2"/>
      <c r="G110" s="2"/>
      <c r="H110" s="2"/>
      <c r="I110" s="2"/>
      <c r="J110" s="2"/>
    </row>
    <row r="111" spans="1:10">
      <c r="A111" s="2">
        <v>6</v>
      </c>
      <c r="B111" s="2">
        <v>5</v>
      </c>
      <c r="C111" s="2"/>
      <c r="D111" s="2"/>
      <c r="E111" s="2"/>
      <c r="F111" s="2"/>
      <c r="G111" s="2"/>
      <c r="H111" s="2"/>
      <c r="I111" s="2"/>
      <c r="J111" s="2"/>
    </row>
    <row r="112" spans="1:10">
      <c r="A112" s="2">
        <v>5</v>
      </c>
      <c r="B112" s="2">
        <v>5</v>
      </c>
      <c r="C112" s="2"/>
      <c r="D112" s="2"/>
      <c r="E112" s="2"/>
      <c r="F112" s="2"/>
      <c r="G112" s="2"/>
      <c r="H112" s="2"/>
      <c r="I112" s="2"/>
      <c r="J112" s="2"/>
    </row>
    <row r="113" spans="1:10">
      <c r="A113" s="2">
        <v>4</v>
      </c>
      <c r="B113" s="2">
        <v>5</v>
      </c>
      <c r="C113" s="2"/>
      <c r="D113" s="2"/>
      <c r="E113" s="2"/>
      <c r="F113" s="2"/>
      <c r="G113" s="2"/>
      <c r="H113" s="2"/>
      <c r="I113" s="2"/>
      <c r="J113" s="2"/>
    </row>
    <row r="114" spans="1:10">
      <c r="A114" s="2">
        <v>3</v>
      </c>
      <c r="B114" s="2">
        <v>5</v>
      </c>
      <c r="C114" s="2"/>
      <c r="D114" s="2"/>
      <c r="E114" s="2"/>
      <c r="F114" s="2"/>
      <c r="G114" s="2"/>
      <c r="H114" s="2"/>
      <c r="I114" s="2"/>
      <c r="J114" s="2"/>
    </row>
    <row r="115" spans="1:10">
      <c r="A115" s="2">
        <v>2</v>
      </c>
      <c r="B115" s="2">
        <v>5</v>
      </c>
      <c r="C115" s="2"/>
      <c r="D115" s="2"/>
      <c r="E115" s="2"/>
      <c r="F115" s="2"/>
      <c r="G115" s="2"/>
      <c r="H115" s="2"/>
      <c r="I115" s="2"/>
      <c r="J115" s="2"/>
    </row>
    <row r="116" spans="1:10">
      <c r="A116" s="2">
        <v>1</v>
      </c>
      <c r="B116" s="2">
        <v>5</v>
      </c>
      <c r="C116" s="2"/>
      <c r="D116" s="2"/>
      <c r="E116" s="2"/>
      <c r="F116" s="2"/>
      <c r="G116" s="2"/>
      <c r="H116" s="2"/>
      <c r="I116" s="2"/>
      <c r="J116" s="2"/>
    </row>
    <row r="117" spans="1:10">
      <c r="A117" s="2">
        <v>0</v>
      </c>
      <c r="B117" s="2">
        <v>5</v>
      </c>
      <c r="C117" s="2"/>
      <c r="D117" s="2"/>
      <c r="E117" s="2"/>
      <c r="F117" s="2"/>
      <c r="G117" s="2"/>
      <c r="H117" s="2"/>
      <c r="I117" s="2"/>
      <c r="J117" s="2"/>
    </row>
  </sheetData>
  <pageMargins left="0.7" right="0.7" top="0.7875" bottom="0.78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Projekt</vt:lpstr>
      <vt:lpstr>Klausur</vt:lpstr>
      <vt:lpstr>Gesamtnote</vt:lpstr>
      <vt:lpstr>Notenspiegel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jordine</dc:creator>
  <cp:lastModifiedBy>'</cp:lastModifiedBy>
  <cp:revision>7</cp:revision>
  <dcterms:created xsi:type="dcterms:W3CDTF">2015-06-11T08:40:00Z</dcterms:created>
  <dcterms:modified xsi:type="dcterms:W3CDTF">2026-02-28T12:15:30Z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ICV">
    <vt:lpwstr>D6469F4116B1448F852B3E667D01B1BB_12</vt:lpwstr>
  </property>
  <property fmtid="{D5CDD505-2E9C-101B-9397-08002B2CF9AE}" pid="7" name="KSOProductBuildVer">
    <vt:lpwstr>2052-12.1.0.24034</vt:lpwstr>
  </property>
  <property fmtid="{D5CDD505-2E9C-101B-9397-08002B2CF9AE}" pid="8" name="CalculationRule">
    <vt:i4>0</vt:i4>
  </property>
</Properties>
</file>